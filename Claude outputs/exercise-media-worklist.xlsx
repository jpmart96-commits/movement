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ilot review" sheetId="2" state="visible" r:id="rId4"/>
    <sheet name="Worklist" sheetId="3" state="visible" r:id="rId5"/>
  </sheets>
  <definedNames>
    <definedName function="false" hidden="true" localSheetId="1" name="_xlnm._FilterDatabase" vbProcedure="false">'Pilot review'!$A$1:$J$66</definedName>
    <definedName function="false" hidden="true" localSheetId="2" name="_xlnm._FilterDatabase" vbProcedure="false">Worklist!$A$1:$N$434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<sst xmlns="http://schemas.openxmlformats.org/spreadsheetml/2006/main" count="4832" uniqueCount="1225">
  <si>
    <t xml:space="preserve">Exercise media worklist</t>
  </si>
  <si>
    <t xml:space="preserve">Snapshot of data/library.js + complementary.js (26 Sep 2026), custom exercises and logged sessions from Supabase, and batch 2 from library-intake.md.</t>
  </si>
  <si>
    <t xml:space="preserve">How to use: on Worklist, click the Search links, paste the chosen URLs into the yellow columns L (video) and M (image/GIF). Done updates itself. Example: the Active hang row already has its video URL in L.</t>
  </si>
  <si>
    <t xml:space="preserve">Tier</t>
  </si>
  <si>
    <t xml:space="preserve">Exercises</t>
  </si>
  <si>
    <t xml:space="preserve">Need video</t>
  </si>
  <si>
    <t xml:space="preserve">Need image</t>
  </si>
  <si>
    <t xml:space="preserve">Done (both)</t>
  </si>
  <si>
    <t xml:space="preserve">1 In plan / logged</t>
  </si>
  <si>
    <t xml:space="preserve">2 Complementary rotation</t>
  </si>
  <si>
    <t xml:space="preserve">3 Active library</t>
  </si>
  <si>
    <t xml:space="preserve">4 Not yet (progression)</t>
  </si>
  <si>
    <t xml:space="preserve">5 Custom exercise</t>
  </si>
  <si>
    <t xml:space="preserve">6 Batch 2 (not added yet)</t>
  </si>
  <si>
    <t xml:space="preserve">Total</t>
  </si>
  <si>
    <t xml:space="preserve">ID</t>
  </si>
  <si>
    <t xml:space="preserve">Name</t>
  </si>
  <si>
    <t xml:space="preserve">Video</t>
  </si>
  <si>
    <t xml:space="preserve">Channel</t>
  </si>
  <si>
    <t xml:space="preserve">Video title</t>
  </si>
  <si>
    <t xml:space="preserve">Confidence</t>
  </si>
  <si>
    <t xml:space="preserve">Concern</t>
  </si>
  <si>
    <t xml:space="preserve">Image</t>
  </si>
  <si>
    <t xml:space="preserve">Instructions (How)</t>
  </si>
  <si>
    <t xml:space="preserve">Your verdict (ok / swap / fix)</t>
  </si>
  <si>
    <t xml:space="preserve">fin-pushups</t>
  </si>
  <si>
    <t xml:space="preserve">Fin push-ups</t>
  </si>
  <si>
    <t xml:space="preserve">https://www.youtube.com/watch?v=FZvvs9rx4gs</t>
  </si>
  <si>
    <t xml:space="preserve">Kimmo</t>
  </si>
  <si>
    <t xml:space="preserve">Wrist push-ups &amp; fin push-ups.</t>
  </si>
  <si>
    <t xml:space="preserve">low</t>
  </si>
  <si>
    <t xml:space="preserve">Niche; small channel</t>
  </si>
  <si>
    <t xml:space="preserve">YouTube thumbnail</t>
  </si>
  <si>
    <t xml:space="preserve">1. Kneel and place the backs of the wrists on the floor, fingers pointing back.
2. Hands wide enough that forearms stay vertical at the bottom.
3. Start on the knees; lower slowly.
4. Press back up without letting the wrists roll.
5. Progress to full push-ups when comfortable. Keep volume low.</t>
  </si>
  <si>
    <t xml:space="preserve">neck-work</t>
  </si>
  <si>
    <t xml:space="preserve">Neck flexion / extension / lateral</t>
  </si>
  <si>
    <t xml:space="preserve">https://www.youtube.com/watch?v=6k9VQNN8B5U</t>
  </si>
  <si>
    <t xml:space="preserve">TrackActive</t>
  </si>
  <si>
    <t xml:space="preserve">Neck flexion and extension</t>
  </si>
  <si>
    <t xml:space="preserve">Flexion/extension only, no lateral</t>
  </si>
  <si>
    <t xml:space="preserve">1. Sit or stand tall, shoulders relaxed.
2. Flexion: nod the chin toward the chest, then return.
3. Extension: look up and back slowly, then return.
4. Lateral: tilt the ear toward the shoulder on each side.
5. Add light hand or band resistance only once each direction moves pain-free. Slow reps.</t>
  </si>
  <si>
    <t xml:space="preserve">uphill-sprints</t>
  </si>
  <si>
    <t xml:space="preserve">Uphill sprint repeats</t>
  </si>
  <si>
    <t xml:space="preserve">https://www.youtube.com/watch?v=VzHQUh5jzsI</t>
  </si>
  <si>
    <t xml:space="preserve">TaylorMade Coaching &amp; Events</t>
  </si>
  <si>
    <t xml:space="preserve">Hill Sprints Tutorial</t>
  </si>
  <si>
    <t xml:space="preserve">Small channel</t>
  </si>
  <si>
    <t xml:space="preserve">1. Find a steep hill with 10–15 seconds of running on it.
2. Warm up well: easy jog, drills, a couple of strides.
3. Sprint up at near-max effort: lean from the ankles, drive the knees and arms.
4. Walk back down slowly.
5. Rest fully (2–3 minutes) before the next rep.</t>
  </si>
  <si>
    <t xml:space="preserve">band-pull-aparts</t>
  </si>
  <si>
    <t xml:space="preserve">Band pull-aparts</t>
  </si>
  <si>
    <t xml:space="preserve">https://www.youtube.com/watch?v=KLb758dtKwU</t>
  </si>
  <si>
    <t xml:space="preserve">The Chiropractic Biomechanic</t>
  </si>
  <si>
    <t xml:space="preserve">BAND PULL-APARTS | Build Shoulder Strength &amp; Protect Your Rotator Cuff</t>
  </si>
  <si>
    <t xml:space="preserve">medium</t>
  </si>
  <si>
    <t xml:space="preserve">https://raw.githubusercontent.com/yuhonas/free-exercise-db/main/exercises/Band_Pull_Apart/0.jpg</t>
  </si>
  <si>
    <t xml:space="preserve">1. Hold a light band at shoulder height, arms straight, hands shoulder-width.
2. Keep the ribs down; don't arch.
3. Pull the band apart by squeezing the shoulder blades together.
4. Bring the band to the chest, arms still straight.
5. Return slowly, keeping tension on the band.</t>
  </si>
  <si>
    <t xml:space="preserve">box-jump</t>
  </si>
  <si>
    <t xml:space="preserve">Box jump</t>
  </si>
  <si>
    <t xml:space="preserve">https://www.youtube.com/watch?v=G-bxQY57mKc</t>
  </si>
  <si>
    <t xml:space="preserve">Runna</t>
  </si>
  <si>
    <t xml:space="preserve">Box Jump Tutorial - Proper Form and Technique</t>
  </si>
  <si>
    <t xml:space="preserve">https://raw.githubusercontent.com/yuhonas/free-exercise-db/main/exercises/Front_Box_Jump/1.jpg</t>
  </si>
  <si>
    <t xml:space="preserve">1. Stand about a foot from the box, feet hip-width.
2. Swing the arms back and dip into a quarter squat.
3. Jump, driving the arms up, and land softly on the whole foot.
4. Land in a half squat with knees over toes, then stand up tall.
5. Step down, don't jump down. Reset fully between reps.</t>
  </si>
  <si>
    <t xml:space="preserve">broad-jump</t>
  </si>
  <si>
    <t xml:space="preserve">Broad jump</t>
  </si>
  <si>
    <t xml:space="preserve">https://www.youtube.com/watch?v=dVgtvAXeBQw</t>
  </si>
  <si>
    <t xml:space="preserve">Athletics Coach</t>
  </si>
  <si>
    <t xml:space="preserve">The Fundamentals - Standing Long Jump</t>
  </si>
  <si>
    <t xml:space="preserve">1. Stand with feet hip-width, toes behind a line.
2. Swing the arms back and load the hips.
3. Explode forward, swinging the arms through.
4. Pull the knees up and reach the feet out to land.
5. Stick the landing with bent knees. Measure, walk back, reset.</t>
  </si>
  <si>
    <t xml:space="preserve">cable-row</t>
  </si>
  <si>
    <t xml:space="preserve">Seated cable row</t>
  </si>
  <si>
    <t xml:space="preserve">https://www.youtube.com/watch?v=OeLb503NZHk</t>
  </si>
  <si>
    <t xml:space="preserve">The Healthy Habit</t>
  </si>
  <si>
    <t xml:space="preserve">Seated Cable Row Tutorial: Build a Strong Back with Proper Form</t>
  </si>
  <si>
    <t xml:space="preserve">https://raw.githubusercontent.com/yuhonas/free-exercise-db/main/exercises/Seated_Cable_Rows/0.jpg</t>
  </si>
  <si>
    <t xml:space="preserve">1. Sit tall, feet on the platform, knees slightly bent.
2. Grab the handle with arms straight, shoulders reaching forward.
3. Pull the shoulder blades back first, then the elbows past the torso.
4. Touch the handle to the lower ribs without leaning back.
5. Return slowly until the arms are straight and the shoulders reach forward.</t>
  </si>
  <si>
    <t xml:space="preserve">dorsal-pushups</t>
  </si>
  <si>
    <t xml:space="preserve">Dorsal push-ups</t>
  </si>
  <si>
    <t xml:space="preserve">https://www.youtube.com/watch?v=oSkF3CCExnY</t>
  </si>
  <si>
    <t xml:space="preserve">GymnasticBodies</t>
  </si>
  <si>
    <t xml:space="preserve">Learn How to Increase Your Flexibility - Dorsal Pushups</t>
  </si>
  <si>
    <t xml:space="preserve">1. Kneel and put the backs of the hands on the floor, arms turned in (pinkies pointing back or in).
2. Keep the load light: start on the knees.
3. Lower a few centimetres, then press back up.
4. Stop well short of pain in the wrist.
5. Build range and reps slowly over weeks.</t>
  </si>
  <si>
    <t xml:space="preserve">ext-rotation-bands</t>
  </si>
  <si>
    <t xml:space="preserve">External rotation — bands</t>
  </si>
  <si>
    <t xml:space="preserve">https://www.youtube.com/watch?v=4HqMXMn3FBk</t>
  </si>
  <si>
    <t xml:space="preserve">Lift With Michelle</t>
  </si>
  <si>
    <t xml:space="preserve">Band External Rotation Exercise | Form Tutorial For Rotator Cuff</t>
  </si>
  <si>
    <t xml:space="preserve">https://raw.githubusercontent.com/yuhonas/free-exercise-db/main/exercises/External_Rotation_with_Band/1.jpg</t>
  </si>
  <si>
    <t xml:space="preserve">1. Anchor the band at elbow height. Stand side-on to it.
2. Elbow bent at 90°, tucked against your side (a rolled towel helps).
3. Start with the forearm across the belly.
4. Rotate the forearm out, away from the body, keeping the elbow pinned.
5. Return slowly. Do both arms.</t>
  </si>
  <si>
    <t xml:space="preserve">eye-cars</t>
  </si>
  <si>
    <t xml:space="preserve">Eye CARs</t>
  </si>
  <si>
    <t xml:space="preserve">https://www.youtube.com/watch?v=dfPY10zCZxQ</t>
  </si>
  <si>
    <t xml:space="preserve">CreativeLive</t>
  </si>
  <si>
    <t xml:space="preserve">Eye Drills to Improve Vision with Eric Cobb</t>
  </si>
  <si>
    <t xml:space="preserve">General Z-Health eye drills, not circles only</t>
  </si>
  <si>
    <t xml:space="preserve">1. Sit or stand tall, head still. Look straight ahead.
2. Move the eyes up as far as they go without strain.
3. Trace the largest slow circle you can: up, out to the side, down, across, back up.
4. Keep the head and face relaxed; only the eyes move.
5. Do 3 slow circles each direction, then close the eyes for a few breaths.</t>
  </si>
  <si>
    <t xml:space="preserve">farmers-walk</t>
  </si>
  <si>
    <t xml:space="preserve">Farmer's walk</t>
  </si>
  <si>
    <t xml:space="preserve">https://www.youtube.com/watch?v=NH7Xv-7NQNQ</t>
  </si>
  <si>
    <t xml:space="preserve">Buff Dudes Workouts</t>
  </si>
  <si>
    <t xml:space="preserve">How To Perform Farmer Walks Exercise Tutorial</t>
  </si>
  <si>
    <t xml:space="preserve">https://raw.githubusercontent.com/yuhonas/free-exercise-db/main/exercises/Farmers_Walk/1.jpg</t>
  </si>
  <si>
    <t xml:space="preserve">1. Deadlift the weights up with a flat back.
2. Stand tall, shoulders down and back, weights at your sides.
3. Brace the core.
4. Walk with short, quick steps, keeping the torso still.
5. Walk the set distance, then set the weights down with a flat back.</t>
  </si>
  <si>
    <t xml:space="preserve">hamstring-pnf</t>
  </si>
  <si>
    <t xml:space="preserve">Hamstring — PNF</t>
  </si>
  <si>
    <t xml:space="preserve">https://www.youtube.com/watch?v=xjWfi4S6yOI</t>
  </si>
  <si>
    <t xml:space="preserve">Saif Haquz</t>
  </si>
  <si>
    <t xml:space="preserve">PNF / Contract-Relax Stretching Technique For Hamstring</t>
  </si>
  <si>
    <t xml:space="preserve">1. Lie on your back and lift one straight leg; hold it with a strap or your hands.
2. Take it to a mild stretch.
3. Contract: push the leg down into the strap at about 30% effort for 5–6 seconds.
4. Relax, then pull the leg a little further on the exhale.
5. Repeat 3–4 rounds per side.</t>
  </si>
  <si>
    <t xml:space="preserve">hip-thrust</t>
  </si>
  <si>
    <t xml:space="preserve">Hip thrust / glute bridge</t>
  </si>
  <si>
    <t xml:space="preserve">https://www.youtube.com/watch?v=mJObkwsEkWs</t>
  </si>
  <si>
    <t xml:space="preserve">Colossus Fitness</t>
  </si>
  <si>
    <t xml:space="preserve">How to PROPERLY Do Barbell Hip Thrusts (Perfect Form)</t>
  </si>
  <si>
    <t xml:space="preserve">https://raw.githubusercontent.com/yuhonas/free-exercise-db/main/exercises/Barbell_Hip_Thrust/0.jpg</t>
  </si>
  <si>
    <t xml:space="preserve">1. Sit with the upper back against a bench, bar padded over the hips.
2. Feet flat, about hip-width, shins vertical at the top.
3. Tuck the chin and ribs; tilt the pelvis back.
4. Drive through the heels until hips are fully extended.
5. Squeeze the glutes for 1–2 seconds, then lower under control.</t>
  </si>
  <si>
    <t xml:space="preserve">incline-bench</t>
  </si>
  <si>
    <t xml:space="preserve">Incline bench press</t>
  </si>
  <si>
    <t xml:space="preserve">https://www.youtube.com/watch?v=5kyLUGVq_pk</t>
  </si>
  <si>
    <t xml:space="preserve">How to PROPERLY Incline Barbell Bench Press (FIX YOUR FORM NOW)</t>
  </si>
  <si>
    <t xml:space="preserve">https://raw.githubusercontent.com/yuhonas/free-exercise-db/main/exercises/Barbell_Incline_Bench_Press_-_Medium_Grip/0.jpg</t>
  </si>
  <si>
    <t xml:space="preserve">1. Bench at about 30°. Eyes under the bar, feet planted.
2. Squeeze the shoulder blades back and down; keep a slight arch.
3. Grip just outside shoulder-width. Unrack over the upper chest.
4. Lower with control to the upper chest, elbows about 45–60° from the body.
5. Press up and slightly back to lockout over the shoulders.</t>
  </si>
  <si>
    <t xml:space="preserve">interval-run</t>
  </si>
  <si>
    <t xml:space="preserve">Interval run</t>
  </si>
  <si>
    <t xml:space="preserve">https://www.youtube.com/watch?v=3r0Kd3G4kek</t>
  </si>
  <si>
    <t xml:space="preserve">VO2 Max Lab</t>
  </si>
  <si>
    <t xml:space="preserve">Norwegian 4x4 Interval Training | Increase VO2 max and Endurance!</t>
  </si>
  <si>
    <t xml:space="preserve">1. Warm up for 10–15 minutes of easy running plus a few strides.
2. Run 4 minutes hard, reaching 90–95% of max heart rate.
3. Recover 3 minutes with easy jogging.
4. Repeat for 4 rounds.
5. Cool down for 10 minutes easy.</t>
  </si>
  <si>
    <t xml:space="preserve">lateral-raise</t>
  </si>
  <si>
    <t xml:space="preserve">Lateral raise</t>
  </si>
  <si>
    <t xml:space="preserve">https://www.youtube.com/watch?v=pgrWjBfaFe8</t>
  </si>
  <si>
    <t xml:space="preserve">How to PROPERLY Dumbbell Lateral Raise For Bigger Shoulders (FIX THIS!)</t>
  </si>
  <si>
    <t xml:space="preserve">https://raw.githubusercontent.com/yuhonas/free-exercise-db/main/exercises/Side_Lateral_Raise/1.jpg</t>
  </si>
  <si>
    <t xml:space="preserve">1. Stand tall, dumbbells at your sides, slight bend in the elbows.
2. Lean slightly forward from the hips.
3. Raise the arms out to the side, leading with the elbows.
4. Stop at shoulder height, hands no higher than elbows.
5. Lower slowly over 2–3 seconds.</t>
  </si>
  <si>
    <t xml:space="preserve">middle-splits</t>
  </si>
  <si>
    <t xml:space="preserve">Middle splits progression</t>
  </si>
  <si>
    <t xml:space="preserve">https://www.youtube.com/watch?v=4RkHIxk-K8Q</t>
  </si>
  <si>
    <t xml:space="preserve">Movesmethod</t>
  </si>
  <si>
    <t xml:space="preserve">Learn Middle Splits In 4 Months!</t>
  </si>
  <si>
    <t xml:space="preserve">General progression, not blocks/slider specific</t>
  </si>
  <si>
    <t xml:space="preserve">1. Stand with feet wide, hands on blocks or the floor.
2. Slide the feet out slowly (on a sliding surface if you have one).
3. Keep the toes pointed up or forward and the knees straight.
4. Stop at a strong but tolerable stretch; hold and breathe.
5. Push down with the inner thighs to come back up.</t>
  </si>
  <si>
    <t xml:space="preserve">overhead-press</t>
  </si>
  <si>
    <t xml:space="preserve">Overhead press</t>
  </si>
  <si>
    <t xml:space="preserve">https://www.youtube.com/watch?v=KEAS2bypjFg</t>
  </si>
  <si>
    <t xml:space="preserve">How to PROPERLY Perform the Overhead Press (OHP EXPLAINED!)</t>
  </si>
  <si>
    <t xml:space="preserve">https://raw.githubusercontent.com/yuhonas/free-exercise-db/main/exercises/Standing_Military_Press/1.jpg</t>
  </si>
  <si>
    <t xml:space="preserve">1. Bar on the front of the shoulders, grip just outside shoulder-width, elbows slightly forward.
2. Squeeze glutes and brace; ribs down.
3. Press straight up, moving the head back out of the way.
4. At the top, push the head through so the bar is over the mid-foot and ears are between the arms.
5. Lower under control to the shoulders.</t>
  </si>
  <si>
    <t xml:space="preserve">peripheral-tracking</t>
  </si>
  <si>
    <t xml:space="preserve">Peripheral tracking</t>
  </si>
  <si>
    <t xml:space="preserve">https://www.youtube.com/watch?v=RhdUV4F_ybM</t>
  </si>
  <si>
    <t xml:space="preserve">Neurobuff</t>
  </si>
  <si>
    <t xml:space="preserve">Peripheral Vision Training - Improve Situational Awareness</t>
  </si>
  <si>
    <t xml:space="preserve">1. Pick a fixed point straight ahead and keep your eyes on it the whole time.
2. Hold a finger or pen at arm's length in front of you.
3. Move it slowly out to the side and around the edge of your vision.
4. Notice how far out you can still sense its movement without looking at it.
5. Work both sides, above and below. 1–2 minutes.</t>
  </si>
  <si>
    <t xml:space="preserve">ring-dip</t>
  </si>
  <si>
    <t xml:space="preserve">Ring dip</t>
  </si>
  <si>
    <t xml:space="preserve">https://www.youtube.com/watch?v=DY4wvmSDP0g</t>
  </si>
  <si>
    <t xml:space="preserve">Leon Thorley</t>
  </si>
  <si>
    <t xml:space="preserve">How To Ring Dip for Beginners - Perfect Form &amp; Common Mistakes!</t>
  </si>
  <si>
    <t xml:space="preserve">1. Start in the ring support: arms locked, rings by your sides.
2. Lower slowly, elbows tracking back, rings staying close to the body.
3. Go down until the shoulders are just below the elbows.
4. Keep the rings from drifting out.
5. Press up and turn the rings out at the top.</t>
  </si>
  <si>
    <t xml:space="preserve">ring-hold-support</t>
  </si>
  <si>
    <t xml:space="preserve">Ring hold — support</t>
  </si>
  <si>
    <t xml:space="preserve">https://www.youtube.com/watch?v=6IWGetY9qLw</t>
  </si>
  <si>
    <t xml:space="preserve">TotalHumanOptimization</t>
  </si>
  <si>
    <t xml:space="preserve">The Ring Support Hold | All Variations Step by Step</t>
  </si>
  <si>
    <t xml:space="preserve">1. Rings at about hip height. Jump or press into support.
2. Arms locked, shoulders pushed down away from the ears.
3. Turn the rings out slightly so the palms face forward.
4. Body straight, legs together, rings against the sides.
5. Hold with minimal shaking. Practise with a false grip (wrist over the ring) in some sets.</t>
  </si>
  <si>
    <t xml:space="preserve">toes-to-bar</t>
  </si>
  <si>
    <t xml:space="preserve">Toes to bar</t>
  </si>
  <si>
    <t xml:space="preserve">https://www.youtube.com/watch?v=j2r4iMy8Hb0</t>
  </si>
  <si>
    <t xml:space="preserve">The Strength Institute</t>
  </si>
  <si>
    <t xml:space="preserve">Toes To Bar (Strict) - Tutorial</t>
  </si>
  <si>
    <t xml:space="preserve">1. Hang from the bar, arms straight, shoulders engaged.
2. Brace the core and tilt the pelvis back slightly.
3. Keeping legs as straight as you can, raise the feet toward the bar.
4. Touch the bar with the toes without swinging.
5. Lower slowly to the hang and kill any swing before the next rep.</t>
  </si>
  <si>
    <t xml:space="preserve">ball-eye-patched</t>
  </si>
  <si>
    <t xml:space="preserve">Ping pong ball vs wall — eye patched</t>
  </si>
  <si>
    <t xml:space="preserve">https://www.youtube.com/watch?v=JNHxkeRmMws</t>
  </si>
  <si>
    <t xml:space="preserve">YouGoProBaseball</t>
  </si>
  <si>
    <t xml:space="preserve">Catching Drills - One Eye Vision Drill for Catching</t>
  </si>
  <si>
    <t xml:space="preserve">high</t>
  </si>
  <si>
    <t xml:space="preserve">1. Cover one eye with a patch or your hand.
2. Stand 1–2 m from a solid wall with a ping pong or tennis ball.
3. Throw the ball at the wall and catch it with the same hand.
4. Keep a steady rhythm; move closer or throw faster to progress.
5. Do the same amount of time with the other eye covered, then switch hands.</t>
  </si>
  <si>
    <t xml:space="preserve">body-scan</t>
  </si>
  <si>
    <t xml:space="preserve">Body scan</t>
  </si>
  <si>
    <t xml:space="preserve">https://www.youtube.com/watch?v=MHc-rbfSbwk</t>
  </si>
  <si>
    <t xml:space="preserve">Fostering Resilience</t>
  </si>
  <si>
    <t xml:space="preserve">10 Minute Guided Body Scan Meditation</t>
  </si>
  <si>
    <t xml:space="preserve">1. Lie on your back or sit, eyes closed. Take a few slow breaths.
2. Bring attention to the toes of one foot. Notice what is there without changing it.
3. Move attention slowly up: foot, ankle, calf, knee, thigh, hip. Then the other leg.
4. Continue through pelvis, belly, chest, back, hands, arms, shoulders, neck, face and scalp.
5. Finish by sensing the whole body at once for a few breaths.</t>
  </si>
  <si>
    <t xml:space="preserve">breathing-478</t>
  </si>
  <si>
    <t xml:space="preserve">4-7-8 breathing</t>
  </si>
  <si>
    <t xml:space="preserve">https://www.youtube.com/watch?v=YRPh_GaiL8s</t>
  </si>
  <si>
    <t xml:space="preserve">Andrew Weil, M.D.</t>
  </si>
  <si>
    <t xml:space="preserve">How To Perform the 4-7-8 Breathing Exercise | Andrew Weil, M.D.</t>
  </si>
  <si>
    <t xml:space="preserve">1. Sit or lie comfortably. Rest the tip of the tongue just behind the upper front teeth.
2. Exhale fully through the mouth with a soft whoosh.
3. Close the mouth and inhale quietly through the nose for 4 counts.
4. Hold the breath for 7 counts.
5. Exhale through the mouth for 8 counts. That is one breath; repeat for 4 breaths to start.</t>
  </si>
  <si>
    <t xml:space="preserve">couch-stretch</t>
  </si>
  <si>
    <t xml:space="preserve">Hip flexor / couch stretch</t>
  </si>
  <si>
    <t xml:space="preserve">https://www.youtube.com/watch?v=WKo4APrwfXQ</t>
  </si>
  <si>
    <t xml:space="preserve">Flow Motion Fitness</t>
  </si>
  <si>
    <t xml:space="preserve">Couch Stretch Progressions: Beginner To Advanced</t>
  </si>
  <si>
    <t xml:space="preserve">1. Kneel with one knee at the base of a wall or couch, shin up against it.
2. Put the other foot forward in a lunge.
3. Squeeze the glute of the back leg and tuck the pelvis.
4. Slowly bring the torso upright.
5. Hold 1–2 minutes each side, breathing slowly.</t>
  </si>
  <si>
    <t xml:space="preserve">dead-hang</t>
  </si>
  <si>
    <t xml:space="preserve">Dead hang</t>
  </si>
  <si>
    <t xml:space="preserve">https://www.youtube.com/watch?v=jBZCzK9zlxk</t>
  </si>
  <si>
    <t xml:space="preserve">Dr. Allan Bacon</t>
  </si>
  <si>
    <t xml:space="preserve">Dead Hang Tutorial</t>
  </si>
  <si>
    <t xml:space="preserve">1. Grip the bar shoulder-width, full grip with the thumbs.
2. Let the body hang, arms straight.
3. Relax the shoulders up toward the ears and let the spine lengthen.
4. Keep the legs quiet and breathe slowly.
5. Step down before the grip fails.</t>
  </si>
  <si>
    <t xml:space="preserve">deadlift</t>
  </si>
  <si>
    <t xml:space="preserve">Deadlift</t>
  </si>
  <si>
    <t xml:space="preserve">https://www.youtube.com/watch?v=XxWcirHIwVo</t>
  </si>
  <si>
    <t xml:space="preserve">Jeremy Ethier</t>
  </si>
  <si>
    <t xml:space="preserve">How to PROPERLY Deadlift for Growth (5 Easy Steps)</t>
  </si>
  <si>
    <t xml:space="preserve">https://raw.githubusercontent.com/yuhonas/free-exercise-db/main/exercises/Barbell_Deadlift/0.jpg</t>
  </si>
  <si>
    <t xml:space="preserve">1. Bar over mid-foot, feet hip-width. Grip just outside the legs.
2. Hips down until the shins touch the bar; chest up, back flat.
3. Take the slack out of the bar, brace hard.
4. Push the floor away, bar dragging up the legs.
5. Lock out with hips and knees together. Lower by hinging the hips back first.</t>
  </si>
  <si>
    <t xml:space="preserve">face-pulls</t>
  </si>
  <si>
    <t xml:space="preserve">Face pulls</t>
  </si>
  <si>
    <t xml:space="preserve">https://www.youtube.com/watch?v=ljgqer1ZpXg</t>
  </si>
  <si>
    <t xml:space="preserve">ATHLEAN-X</t>
  </si>
  <si>
    <t xml:space="preserve">STOP F*cking Up Face Pulls (PROPER FORM!)</t>
  </si>
  <si>
    <t xml:space="preserve">https://raw.githubusercontent.com/yuhonas/free-exercise-db/main/exercises/Face_Pull/0.jpg</t>
  </si>
  <si>
    <t xml:space="preserve">1. Rope at upper-chest or face height. Grip with thumbs toward you.
2. Step back until the arms are straight and the cable is taut.
3. Pull the rope toward the face, elbows high and wide.
4. Finish by rotating the hands back so they end beside the ears.
5. Pause, then return slowly.</t>
  </si>
  <si>
    <t xml:space="preserve">first-knuckle-raises</t>
  </si>
  <si>
    <t xml:space="preserve">First knuckle raises</t>
  </si>
  <si>
    <t xml:space="preserve">https://www.youtube.com/watch?v=Un4TtjbHLjg</t>
  </si>
  <si>
    <t xml:space="preserve">Hybrid Spine and Sport</t>
  </si>
  <si>
    <t xml:space="preserve">First Knuckle Push Ups</t>
  </si>
  <si>
    <t xml:space="preserve">1. Start in a plank with index fingers parallel.
2. Press off the palms onto the fingers only, thumbs off the ground.
3. Use whole fingers, not just the tips.
4. Lower the palms back down under control.
5. If too hard: knees down, then knees with hips on heels, then leaning on a wall.</t>
  </si>
  <si>
    <t xml:space="preserve">foam-rolling</t>
  </si>
  <si>
    <t xml:space="preserve">Foam rolling — general</t>
  </si>
  <si>
    <t xml:space="preserve">https://www.youtube.com/watch?v=Oc6gHIS7Qos</t>
  </si>
  <si>
    <t xml:space="preserve">Airrosti Rehab Centers</t>
  </si>
  <si>
    <t xml:space="preserve">Try this 10 Minute Full Body Foam Rolling Routine!</t>
  </si>
  <si>
    <t xml:space="preserve">1. Place the roller under the target area: calves, quads, glutes, upper back.
2. Roll slowly, about 2–3 cm per second.
3. When you find a tender spot, pause and breathe for 20–30 seconds.
4. Avoid rolling directly on the lower back and joints.
5. About 1 minute per area.</t>
  </si>
  <si>
    <t xml:space="preserve">german-hang</t>
  </si>
  <si>
    <t xml:space="preserve">Ring hold — German hang</t>
  </si>
  <si>
    <t xml:space="preserve">https://www.youtube.com/watch?v=5KaDOUeMY98</t>
  </si>
  <si>
    <t xml:space="preserve">GMB Fitness</t>
  </si>
  <si>
    <t xml:space="preserve">German Hang Tutorial - Shoulder Strength and Mobility on the Gymnastic Rings</t>
  </si>
  <si>
    <t xml:space="preserve">1. Rings or bar within reach. Start from a hang or tucked position.
2. Tuck and rotate backward through the skin-the-cat.
3. Lower the feet toward the floor until the shoulders open into extension.
4. Stop where the stretch is strong but controlled; feet can stay on the floor to start.
5. Return the same way. Build hold time slowly.</t>
  </si>
  <si>
    <t xml:space="preserve">half-split-stretch</t>
  </si>
  <si>
    <t xml:space="preserve">Half split stretch</t>
  </si>
  <si>
    <t xml:space="preserve">https://www.youtube.com/watch?v=h_wtmUMu0MU</t>
  </si>
  <si>
    <t xml:space="preserve">YanvaYoga</t>
  </si>
  <si>
    <t xml:space="preserve">How To Do A Half Splits Pose (Ardha Hanumanasana)</t>
  </si>
  <si>
    <t xml:space="preserve">1. Start in a kneeling lunge.
2. Shift the hips back over the back knee.
3. Straighten the front leg, toes up.
4. Hinge forward over the front leg with a long back.
5. Hold 30–60 seconds each side.</t>
  </si>
  <si>
    <t xml:space="preserve">hamstring-hang</t>
  </si>
  <si>
    <t xml:space="preserve">Hamstring — passive hang</t>
  </si>
  <si>
    <t xml:space="preserve">https://www.youtube.com/watch?v=2W7Dhf6n5aM</t>
  </si>
  <si>
    <t xml:space="preserve">Dani Winks Flexibility</t>
  </si>
  <si>
    <t xml:space="preserve">How To: Ragdoll Forward Fold</t>
  </si>
  <si>
    <t xml:space="preserve">1. Stand with feet hip-width, knees soft.
2. Fold forward from the hips and let the upper body hang.
3. Hold the opposite elbows and let the head drop.
4. Sway gently and let gravity do the work.
5. Roll up slowly when finished.</t>
  </si>
  <si>
    <t xml:space="preserve">hamstring-pike</t>
  </si>
  <si>
    <t xml:space="preserve">Hamstring — standing pike</t>
  </si>
  <si>
    <t xml:space="preserve">https://www.youtube.com/watch?v=B6--yoHH_Mw</t>
  </si>
  <si>
    <t xml:space="preserve">GymnasticBodies Standing Pike Stretch</t>
  </si>
  <si>
    <t xml:space="preserve">1. Stand with feet together, legs straight.
2. Hinge forward from the hips, keeping the back long.
3. Reach the hands toward or past the feet.
4. Pull the kneecaps up to keep the legs straight.
5. Hold and breathe; ease deeper on each exhale.</t>
  </si>
  <si>
    <t xml:space="preserve">hip-90-90-stretch</t>
  </si>
  <si>
    <t xml:space="preserve">90/90 hip stretch</t>
  </si>
  <si>
    <t xml:space="preserve">https://www.youtube.com/watch?v=t4Zz6-aG8Iw</t>
  </si>
  <si>
    <t xml:space="preserve">Jack Hanrahan Fitness</t>
  </si>
  <si>
    <t xml:space="preserve">90 90 Hip Stretch (Best Hip Mobility Exercise!)</t>
  </si>
  <si>
    <t xml:space="preserve">1. Sit with the front leg bent at 90° in front and the back leg bent at 90° to the side.
2. Sit up tall over the front shin.
3. Hinge forward over the front leg for the stretch.
4. Rotate the knees to the other side to switch.
5. Hold each side 30–60 seconds, or flow side to side.</t>
  </si>
  <si>
    <t xml:space="preserve">hollow-body-hold</t>
  </si>
  <si>
    <t xml:space="preserve">Hollow body hold</t>
  </si>
  <si>
    <t xml:space="preserve">https://www.youtube.com/watch?v=HAfUt2Cco74</t>
  </si>
  <si>
    <t xml:space="preserve">Zack Henderson</t>
  </si>
  <si>
    <t xml:space="preserve">HOLLOW BODY HOLD Progressions (Beginner to Advanced)</t>
  </si>
  <si>
    <t xml:space="preserve">1. Lie on your back, arms overhead, legs straight.
2. Press the lower back into the floor by tilting the pelvis back.
3. Lift the shoulders and legs off the floor.
4. Keep the lower back flat; lower the legs only as far as you can hold it.
5. Regress with bent knees or arms by your sides.</t>
  </si>
  <si>
    <t xml:space="preserve">juggling-cascade</t>
  </si>
  <si>
    <t xml:space="preserve">Juggling — 3 ball cascade</t>
  </si>
  <si>
    <t xml:space="preserve">https://www.youtube.com/watch?v=SHYDbOLrU1w</t>
  </si>
  <si>
    <t xml:space="preserve">Ultimate101</t>
  </si>
  <si>
    <t xml:space="preserve">How to Juggle 3 Balls for Beginners - 3-Ball Cascade</t>
  </si>
  <si>
    <t xml:space="preserve">1. Start with one ball: throw it in an arc from hand to hand, peaking just above eye level.
2. Two balls: throw the first; when it peaks, throw the second underneath it. Catch both, then stop.
3. Three balls: start with two in the dominant hand. Throw, and each time a ball peaks, throw the next.
4. Throws go inside, catches happen outside. Keep elbows at your sides.
5. Count throws. Aim for 10, then 20 in a row before adding tricks.</t>
  </si>
  <si>
    <t xml:space="preserve">juggling-columns</t>
  </si>
  <si>
    <t xml:space="preserve">Juggling — columns</t>
  </si>
  <si>
    <t xml:space="preserve">https://www.youtube.com/watch?v=nkAMDSNXCxY</t>
  </si>
  <si>
    <t xml:space="preserve">Niels Duinker</t>
  </si>
  <si>
    <t xml:space="preserve">Juggling Tutorial, 3-ball Columns</t>
  </si>
  <si>
    <t xml:space="preserve">1. Hold two balls in the dominant hand and one in the other.
2. Throw one ball from the dominant hand straight up the middle.
3. As it peaks, throw the two outside balls straight up together, one from each hand.
4. Catch the middle ball and throw it again as the outside pair peaks.
5. Keep all three in vertical lanes. Practise the outside pair on its own first.</t>
  </si>
  <si>
    <t xml:space="preserve">juggling-half-shower</t>
  </si>
  <si>
    <t xml:space="preserve">Juggling — half shower</t>
  </si>
  <si>
    <t xml:space="preserve">https://www.youtube.com/watch?v=Mf04OllYlOM</t>
  </si>
  <si>
    <t xml:space="preserve">Circus Made Simple</t>
  </si>
  <si>
    <t xml:space="preserve">Learn your first 3 ball juggling trick, the Half Shower</t>
  </si>
  <si>
    <t xml:space="preserve">1. Start in a cascade.
2. Make one hand throw higher, over the top, landing on the far side.
3. The other hand keeps throwing low underneath, as in the cascade.
4. The high throws cross above; the low ones pass underneath.
5. Switch which hand throws high every set.</t>
  </si>
  <si>
    <t xml:space="preserve">juggling-reverse-cascade</t>
  </si>
  <si>
    <t xml:space="preserve">Juggling — reverse cascade</t>
  </si>
  <si>
    <t xml:space="preserve">https://www.youtube.com/watch?v=rDeneW2EoxQ</t>
  </si>
  <si>
    <t xml:space="preserve">Juggling Tutorial - 3 Ball Reverse Cascade</t>
  </si>
  <si>
    <t xml:space="preserve">1. Start from the normal cascade to set the rhythm.
2. Throw each ball from the outside of the hand, over the top of the incoming ball.
3. Each ball lands on the inside and is carried out before its next throw.
4. Keep throws the same height on both sides.
5. Practise with 2 balls first, then 3.</t>
  </si>
  <si>
    <t xml:space="preserve">juggling-variations</t>
  </si>
  <si>
    <t xml:space="preserve">Juggling — variations / tricks</t>
  </si>
  <si>
    <t xml:space="preserve">https://www.youtube.com/watch?v=SSbNtVfMdgM</t>
  </si>
  <si>
    <t xml:space="preserve">Easy 3-Ball Juggling Tricks For Beginners (with slow motion)</t>
  </si>
  <si>
    <t xml:space="preserve">1. Start from a steady 3-ball cascade.
2. Pick one trick (columns, reverse cascade, under the leg) and work only that trick in each set.
3. Enter the trick for one throw, then return to the cascade.
4. When single throws are clean, string two or three together.
5. Stop the set when throws go wild; quality over reps.</t>
  </si>
  <si>
    <t xml:space="preserve">med-ball-slams</t>
  </si>
  <si>
    <t xml:space="preserve">Medicine ball slams</t>
  </si>
  <si>
    <t xml:space="preserve">https://www.youtube.com/watch?v=lsMGmkvzFsE</t>
  </si>
  <si>
    <t xml:space="preserve">Bodybuilding.com</t>
  </si>
  <si>
    <t xml:space="preserve">How To Do Medicine Ball Slams &amp; 12 Best Slam Variations</t>
  </si>
  <si>
    <t xml:space="preserve">https://raw.githubusercontent.com/yuhonas/free-exercise-db/main/exercises/Overhead_Slam/1.jpg</t>
  </si>
  <si>
    <t xml:space="preserve">1. Stand hip-width holding a slam ball.
2. Lift it overhead, rising onto the toes and extending the whole body.
3. Slam it down in front of the feet with the whole body, hinging at the hips.
4. Follow through with the arms.
5. Pick it up with a flat back and go again.</t>
  </si>
  <si>
    <t xml:space="preserve">near-far-focus</t>
  </si>
  <si>
    <t xml:space="preserve">Near / far focus shifts</t>
  </si>
  <si>
    <t xml:space="preserve">https://www.youtube.com/watch?v=DTopAJ7iwMg</t>
  </si>
  <si>
    <t xml:space="preserve">naturaleyecare</t>
  </si>
  <si>
    <t xml:space="preserve">Improve Near &amp; Far Focus with Daniel Orlansky</t>
  </si>
  <si>
    <t xml:space="preserve">1. Hold a thumb or small target about 25 cm in front of your nose.
2. Focus on it until it is sharp.
3. Shift focus to something far away (the horizon or across the room) until it is sharp.
4. Shift back to the thumb. Keep the head still; only the focus changes.
5. Continue for 1–2 minutes at a steady rhythm.</t>
  </si>
  <si>
    <t xml:space="preserve">pancake</t>
  </si>
  <si>
    <t xml:space="preserve">Pancake / straddle floor</t>
  </si>
  <si>
    <t xml:space="preserve">https://www.youtube.com/watch?v=CHRUb43S6RM</t>
  </si>
  <si>
    <t xml:space="preserve">Strength Side</t>
  </si>
  <si>
    <t xml:space="preserve">How to Pancake Stretch (Beginner to Advanced)</t>
  </si>
  <si>
    <t xml:space="preserve">https://raw.githubusercontent.com/yuhonas/free-exercise-db/main/exercises/The_Straddle/0.jpg</t>
  </si>
  <si>
    <t xml:space="preserve">1. Sit with legs wide in a straddle, toes up, knees straight.
2. Sit up tall; elevate the hips on a cushion if the back rounds.
3. Tilt the pelvis forward and walk the hands forward.
4. Lead with the chest, not the head.
5. Hold and breathe; use contract-relax to ease deeper.</t>
  </si>
  <si>
    <t xml:space="preserve">plank</t>
  </si>
  <si>
    <t xml:space="preserve">Plank</t>
  </si>
  <si>
    <t xml:space="preserve">https://www.youtube.com/watch?v=A2b2EmIg0dA</t>
  </si>
  <si>
    <t xml:space="preserve">E3 Rehab</t>
  </si>
  <si>
    <t xml:space="preserve">How To Plank (Proper Form | Cues | Progressions)</t>
  </si>
  <si>
    <t xml:space="preserve">https://raw.githubusercontent.com/yuhonas/free-exercise-db/main/exercises/Plank/1.jpg</t>
  </si>
  <si>
    <t xml:space="preserve">1. Forearms on the floor, elbows under the shoulders.
2. Legs straight, feet together or hip-width.
3. Tuck the pelvis slightly and squeeze the glutes.
4. Push the floor away so the upper back doesn't sag.
5. Hold a straight line from head to heels; breathe steadily.</t>
  </si>
  <si>
    <t xml:space="preserve">pull-up</t>
  </si>
  <si>
    <t xml:space="preserve">Pull-up</t>
  </si>
  <si>
    <t xml:space="preserve">https://www.youtube.com/watch?v=rmdn5X_KLkY</t>
  </si>
  <si>
    <t xml:space="preserve">SaturnoMovement</t>
  </si>
  <si>
    <t xml:space="preserve">The PERFECT Pull-Up (Full Guide)</t>
  </si>
  <si>
    <t xml:space="preserve">https://raw.githubusercontent.com/yuhonas/free-exercise-db/main/exercises/Pullups/1.jpg</t>
  </si>
  <si>
    <t xml:space="preserve">1. Hang from the bar, hands just outside shoulder-width, arms straight.
2. Start by pulling the shoulder blades down.
3. Pull the chest toward the bar, elbows driving down to the ribs.
4. Chin clears the bar without craning the neck.
5. Lower all the way to a dead hang before the next rep.</t>
  </si>
  <si>
    <t xml:space="preserve">rice-bucket</t>
  </si>
  <si>
    <t xml:space="preserve">Rice bucket wrist conditioning</t>
  </si>
  <si>
    <t xml:space="preserve">https://www.youtube.com/watch?v=EX_XDq71IGQ</t>
  </si>
  <si>
    <t xml:space="preserve">Hunter Physio</t>
  </si>
  <si>
    <t xml:space="preserve">Rice Bucket Wrist Conditioning / Rehab</t>
  </si>
  <si>
    <t xml:space="preserve">1. Fill a bucket with rice deep enough to cover the forearm.
2. Push the hand in to mid-forearm.
3. Open and close the hand repeatedly.
4. Then rotate, twist, and flex/extend the wrist through the rice.
5. Do 20–30 seconds per movement, both hands.</t>
  </si>
  <si>
    <t xml:space="preserve">runners-lunge-stretch</t>
  </si>
  <si>
    <t xml:space="preserve">Runner's lunge stretch</t>
  </si>
  <si>
    <t xml:space="preserve">https://www.youtube.com/watch?v=iZ1eZBY4fwM</t>
  </si>
  <si>
    <t xml:space="preserve">PureGym</t>
  </si>
  <si>
    <t xml:space="preserve">How To Do Kneeling Lunge (Hip Flexor Stretch)</t>
  </si>
  <si>
    <t xml:space="preserve">https://raw.githubusercontent.com/yuhonas/free-exercise-db/main/exercises/Kneeling_Hip_Flexor/0.jpg</t>
  </si>
  <si>
    <t xml:space="preserve">1. Kneel in a lunge, back knee on the floor (padded).
2. Front knee over the ankle.
3. Tuck the pelvis and squeeze the back-leg glute.
4. Shift the hips forward until you feel the front of the hip stretch.
5. Hold 30–60 seconds each side.</t>
  </si>
  <si>
    <t xml:space="preserve">saccade-chart</t>
  </si>
  <si>
    <t xml:space="preserve">Saccadic jumps - two targets</t>
  </si>
  <si>
    <t xml:space="preserve">https://www.youtube.com/watch?v=z-BH_95_f-w</t>
  </si>
  <si>
    <t xml:space="preserve">Insight Vision Optometry</t>
  </si>
  <si>
    <t xml:space="preserve">Vision Therapy Exercise To Improve Eye Tracking | Column Saccades</t>
  </si>
  <si>
    <t xml:space="preserve">(kept existing library instructions)</t>
  </si>
  <si>
    <t xml:space="preserve">squat</t>
  </si>
  <si>
    <t xml:space="preserve">Squat</t>
  </si>
  <si>
    <t xml:space="preserve">https://www.youtube.com/watch?v=gcNh17Ckjgg</t>
  </si>
  <si>
    <t xml:space="preserve">How to PROPERLY Squat for Growth (4 Easy Steps)</t>
  </si>
  <si>
    <t xml:space="preserve">https://raw.githubusercontent.com/yuhonas/free-exercise-db/main/exercises/Barbell_Full_Squat/1.jpg</t>
  </si>
  <si>
    <t xml:space="preserve">1. Bar on the upper back, hands just outside the shoulders, feet shoulder-width, toes slightly out.
2. Brace: big breath into the belly, ribs down.
3. Sit down and back between the hips, knees tracking over the toes.
4. Reach at least parallel with the back neutral and heels down.
5. Drive up through the whole foot, chest and hips rising together.</t>
  </si>
  <si>
    <t xml:space="preserve">tempo-run</t>
  </si>
  <si>
    <t xml:space="preserve">Tempo run</t>
  </si>
  <si>
    <t xml:space="preserve">https://www.youtube.com/watch?v=hDYp3U8b1nU</t>
  </si>
  <si>
    <t xml:space="preserve">Sage Running</t>
  </si>
  <si>
    <t xml:space="preserve">Tempo Run Workouts: Correct Pace and Intensity | Sage Running</t>
  </si>
  <si>
    <t xml:space="preserve">1. Warm up for 10–15 minutes easy.
2. Settle into a comfortably hard pace you could hold for about an hour in a race.
3. Breathing is strong but controlled; only short phrases are possible.
4. Hold the pace steady for the planned block (20–30 minutes).
5. Cool down for 10 minutes easy.</t>
  </si>
  <si>
    <t xml:space="preserve">tre-tremoring</t>
  </si>
  <si>
    <t xml:space="preserve">TRE-style tremoring</t>
  </si>
  <si>
    <t xml:space="preserve">https://www.youtube.com/watch?v=FeUioDuJjFI</t>
  </si>
  <si>
    <t xml:space="preserve">TRE FOR ALL</t>
  </si>
  <si>
    <t xml:space="preserve">TRE: Full Instructions with Dr. David Berceli (OFFICIAL)</t>
  </si>
  <si>
    <t xml:space="preserve">1. Warm up the legs: slow calf raises, a wall sit or a held lunge until the legs feel tired.
2. Lie on your back, soles of the feet together, knees dropped open.
3. Lift the pelvis slightly, then lower it and slowly bring the knees an inch or two toward each other.
4. Pause at each position and let any tremor in the legs and pelvis happen on its own.
5. Stay 5–15 minutes. To stop, straighten the legs and rest flat for a couple of minutes.</t>
  </si>
  <si>
    <t xml:space="preserve">triceps-dip</t>
  </si>
  <si>
    <t xml:space="preserve">Triceps dip</t>
  </si>
  <si>
    <t xml:space="preserve">https://www.youtube.com/watch?v=KoS_NMmuxMM</t>
  </si>
  <si>
    <t xml:space="preserve">FitnessFAQs</t>
  </si>
  <si>
    <t xml:space="preserve">Are You Doing Dips Correctly? (AVOID MISTAKES)</t>
  </si>
  <si>
    <t xml:space="preserve">https://raw.githubusercontent.com/yuhonas/free-exercise-db/main/exercises/Dips_-_Triceps_Version/0.jpg</t>
  </si>
  <si>
    <t xml:space="preserve">1. Support yourself on parallel bars, arms locked, shoulders down.
2. Keep the torso fairly upright for triceps emphasis.
3. Lower until the upper arms are about parallel to the floor.
4. Keep elbows tracking back, not flaring out.
5. Press back up to full lockout.</t>
  </si>
  <si>
    <t xml:space="preserve">wrist-prep</t>
  </si>
  <si>
    <t xml:space="preserve">Wrist circles + finger extensions</t>
  </si>
  <si>
    <t xml:space="preserve">https://www.youtube.com/watch?v=mSZWSQSSEjE</t>
  </si>
  <si>
    <t xml:space="preserve">Wrist Strength &amp; Mobility Exercises</t>
  </si>
  <si>
    <t xml:space="preserve">1. Kneel on all fours, hands shoulder-width.
2. Circle the wrists with the palms on the floor, both directions.
3. Turn the fingers to face your knees and gently lean back.
4. Turn the backs of the hands down and gently lean back.
5. Finish with finger extensions: spread and press the fingers into the floor, lifting the palms.</t>
  </si>
  <si>
    <t xml:space="preserve">yoga-cat-cow</t>
  </si>
  <si>
    <t xml:space="preserve">Cat-cow</t>
  </si>
  <si>
    <t xml:space="preserve">https://www.youtube.com/watch?v=y39PrKY_4JM</t>
  </si>
  <si>
    <t xml:space="preserve">Yoga With Adriene</t>
  </si>
  <si>
    <t xml:space="preserve">Cat-Cow Yoga Pose - Yoga With Adriene</t>
  </si>
  <si>
    <t xml:space="preserve">https://raw.githubusercontent.com/yuhonas/free-exercise-db/main/exercises/Cat_Stretch/0.jpg</t>
  </si>
  <si>
    <t xml:space="preserve">1. On all fours, wrists under shoulders, knees under hips.
2. Inhale: drop the belly, lift the chest and tailbone (cow).
3. Exhale: round the spine, tuck the tailbone and chin (cat).
4. Move one segment at a time, starting from the pelvis.
5. Continue for 5–10 slow breaths.</t>
  </si>
  <si>
    <t xml:space="preserve">yoga-childs-pose</t>
  </si>
  <si>
    <t xml:space="preserve">Child's pose</t>
  </si>
  <si>
    <t xml:space="preserve">https://www.youtube.com/watch?v=eqVMAPM00DM</t>
  </si>
  <si>
    <t xml:space="preserve">Extended Child's Pose - Yoga With Adriene</t>
  </si>
  <si>
    <t xml:space="preserve">https://raw.githubusercontent.com/yuhonas/free-exercise-db/main/exercises/Childs_Pose/0.jpg</t>
  </si>
  <si>
    <t xml:space="preserve">1. Kneel with the big toes together, knees together or wide.
2. Sit the hips back toward the heels.
3. Fold forward and rest the forehead on the floor.
4. Arms long in front or by your sides.
5. Breathe into the back of the ribs.</t>
  </si>
  <si>
    <t xml:space="preserve">yoga-legs-up-wall</t>
  </si>
  <si>
    <t xml:space="preserve">Legs-up-the-wall</t>
  </si>
  <si>
    <t xml:space="preserve">https://www.youtube.com/watch?v=_OQEIiZLY-0</t>
  </si>
  <si>
    <t xml:space="preserve">Legs Up The Wall - Foundations of Yoga</t>
  </si>
  <si>
    <t xml:space="preserve">1. Sit side-on to a wall with one hip touching it.
2. Swing the legs up the wall as you lie back.
3. Scoot the hips close to the wall.
4. Rest the arms by your sides, palms up.
5. Stay 5–10 minutes, breathing slowly.</t>
  </si>
  <si>
    <t xml:space="preserve">yoga-pigeon</t>
  </si>
  <si>
    <t xml:space="preserve">Pigeon pose</t>
  </si>
  <si>
    <t xml:space="preserve">https://www.youtube.com/watch?v=0_zPqA65Nok</t>
  </si>
  <si>
    <t xml:space="preserve">Pigeon Pose - Yoga With Adriene</t>
  </si>
  <si>
    <t xml:space="preserve">1. From all fours, bring one knee forward behind the same wrist.
2. Angle the front shin; the closer to parallel with the front of the mat, the more intense.
3. Slide the back leg straight behind you.
4. Square the hips; prop the front hip on a cushion if it floats.
5. Stay upright or fold forward. Hold 1–2 minutes per side.</t>
  </si>
  <si>
    <t xml:space="preserve">yoga-reclined-twist</t>
  </si>
  <si>
    <t xml:space="preserve">Reclined spinal twist</t>
  </si>
  <si>
    <t xml:space="preserve">https://www.youtube.com/watch?v=mKC3IeldPOc</t>
  </si>
  <si>
    <t xml:space="preserve">Reclined Twist Yoga Pose - Yoga With Adriene</t>
  </si>
  <si>
    <t xml:space="preserve">1. Lie on your back, arms out in a T.
2. Bring the knees toward the chest.
3. Let both knees drop to one side.
4. Keep both shoulders on the floor; turn the head the other way if comfortable.
5. Hold for 5–10 breaths, then switch sides.</t>
  </si>
  <si>
    <t xml:space="preserve">yoga-seated-forward-fold</t>
  </si>
  <si>
    <t xml:space="preserve">Seated forward fold</t>
  </si>
  <si>
    <t xml:space="preserve">https://www.youtube.com/watch?v=g7Uhp5tphAs</t>
  </si>
  <si>
    <t xml:space="preserve">Forward Fold Yoga Pose - Yoga With Adriene</t>
  </si>
  <si>
    <t xml:space="preserve">1. Sit with legs straight in front, feet flexed.
2. Sit up tall; a cushion under the hips helps.
3. Hinge forward from the hips, keeping the back long.
4. Reach toward the feet without pulling the back into a round.
5. Hold and breathe; soften on each exhale.</t>
  </si>
  <si>
    <t xml:space="preserve">active-hang</t>
  </si>
  <si>
    <t xml:space="preserve">Active hang</t>
  </si>
  <si>
    <t xml:space="preserve">https://www.youtube.com/watch?v=HoE-C85ZlCE</t>
  </si>
  <si>
    <t xml:space="preserve">existing</t>
  </si>
  <si>
    <t xml:space="preserve">1. Start in a dead hang, arms straight.
2. Pull the shoulder blades down away from the ears without bending the elbows.
3. The body rises a few centimetres.
4. Hold for 3 seconds.
5. Relax back to a dead hang for 1 second. Repeat.</t>
  </si>
  <si>
    <t xml:space="preserve">easy-run</t>
  </si>
  <si>
    <t xml:space="preserve">Easy run</t>
  </si>
  <si>
    <t xml:space="preserve">skipped (cardio)</t>
  </si>
  <si>
    <t xml:space="preserve">none</t>
  </si>
  <si>
    <t xml:space="preserve">1. Warm up with a few minutes of walking or very easy jogging.
2. Run at a pace you can hold a conversation at.
3. Breathe through the nose if you can.
4. Keep steps short and relaxed.
5. Cool down with a few minutes of walking.</t>
  </si>
  <si>
    <t xml:space="preserve">walking</t>
  </si>
  <si>
    <t xml:space="preserve">Walking / hiking</t>
  </si>
  <si>
    <t xml:space="preserve">1. Walk at a relaxed pace.
2. No targets. Just move.</t>
  </si>
  <si>
    <t xml:space="preserve">z2-cycling</t>
  </si>
  <si>
    <t xml:space="preserve">Zone 2 indoor cycling</t>
  </si>
  <si>
    <t xml:space="preserve">1. Set up the bike: slight knee bend at the bottom of the pedal stroke.
2. Warm up for 5 minutes easy.
3. Ride at zone 2 heart rate, where nose breathing is comfortable.
4. Keep the cadence smooth, around 80–90 rpm.
5. Hold for the planned time. Cool down 5 minutes.</t>
  </si>
  <si>
    <t xml:space="preserve">Category</t>
  </si>
  <si>
    <t xml:space="preserve">State</t>
  </si>
  <si>
    <t xml:space="preserve">Why</t>
  </si>
  <si>
    <t xml:space="preserve">Video now</t>
  </si>
  <si>
    <t xml:space="preserve">Image now</t>
  </si>
  <si>
    <t xml:space="preserve">Note</t>
  </si>
  <si>
    <t xml:space="preserve">YouTube search</t>
  </si>
  <si>
    <t xml:space="preserve">Image search</t>
  </si>
  <si>
    <t xml:space="preserve">Video URL (fill)</t>
  </si>
  <si>
    <t xml:space="preserve">Image/GIF URL (fill)</t>
  </si>
  <si>
    <t xml:space="preserve">Done</t>
  </si>
  <si>
    <t xml:space="preserve">Body Movement / Gymnastics Conditioning</t>
  </si>
  <si>
    <t xml:space="preserve">active</t>
  </si>
  <si>
    <t xml:space="preserve">month plan, logged, rotation</t>
  </si>
  <si>
    <t xml:space="preserve">search placeholder</t>
  </si>
  <si>
    <t xml:space="preserve">NONE</t>
  </si>
  <si>
    <t xml:space="preserve">Search</t>
  </si>
  <si>
    <t xml:space="preserve">YouTube thumbnail (auto)</t>
  </si>
  <si>
    <t xml:space="preserve">Body Movement / Hanging</t>
  </si>
  <si>
    <t xml:space="preserve">Cardio / Cycling</t>
  </si>
  <si>
    <t xml:space="preserve">month plan, logged</t>
  </si>
  <si>
    <t xml:space="preserve">optional (cardio/breath)</t>
  </si>
  <si>
    <t xml:space="preserve">Cardio / Run</t>
  </si>
  <si>
    <t xml:space="preserve">month plan</t>
  </si>
  <si>
    <t xml:space="preserve">Cardio / Walk</t>
  </si>
  <si>
    <t xml:space="preserve">Flexibility / Hamstring</t>
  </si>
  <si>
    <t xml:space="preserve">logged, rotation</t>
  </si>
  <si>
    <t xml:space="preserve">Flexibility / Hip</t>
  </si>
  <si>
    <t xml:space="preserve">Flexibility / Self-Massage</t>
  </si>
  <si>
    <t xml:space="preserve">logged</t>
  </si>
  <si>
    <t xml:space="preserve">Flexibility / Splits</t>
  </si>
  <si>
    <t xml:space="preserve">month plan, rotation</t>
  </si>
  <si>
    <t xml:space="preserve">Gym / Accessory</t>
  </si>
  <si>
    <t xml:space="preserve">Gym / Plio A</t>
  </si>
  <si>
    <t xml:space="preserve">Gym / Plio B</t>
  </si>
  <si>
    <t xml:space="preserve">Gym / Prehab</t>
  </si>
  <si>
    <t xml:space="preserve">Gym / Strength A</t>
  </si>
  <si>
    <t xml:space="preserve">Gym / Strength B</t>
  </si>
  <si>
    <t xml:space="preserve">Meditation / Awareness</t>
  </si>
  <si>
    <t xml:space="preserve">Meditation / Breathwork</t>
  </si>
  <si>
    <t xml:space="preserve">Object Manipulation / Juggling</t>
  </si>
  <si>
    <t xml:space="preserve">Object Manipulation / Reaction</t>
  </si>
  <si>
    <t xml:space="preserve">Object Manipulation / Tennis Ball</t>
  </si>
  <si>
    <t xml:space="preserve">Power / Jumps</t>
  </si>
  <si>
    <t xml:space="preserve">Power / Sprint</t>
  </si>
  <si>
    <t xml:space="preserve">Power / Throws</t>
  </si>
  <si>
    <t xml:space="preserve">Rings / Holds</t>
  </si>
  <si>
    <t xml:space="preserve">Rings / Pushing</t>
  </si>
  <si>
    <t xml:space="preserve">Somatic / Eye Training</t>
  </si>
  <si>
    <t xml:space="preserve">Somatic / Neurological</t>
  </si>
  <si>
    <t xml:space="preserve">Yoga / Restorative</t>
  </si>
  <si>
    <t xml:space="preserve">has video</t>
  </si>
  <si>
    <t xml:space="preserve">glute-bridge-bw</t>
  </si>
  <si>
    <t xml:space="preserve">Glute bridge (bodyweight)</t>
  </si>
  <si>
    <t xml:space="preserve">Body Movement / Activation</t>
  </si>
  <si>
    <t xml:space="preserve">rotation</t>
  </si>
  <si>
    <t xml:space="preserve">banded-lateral-walk</t>
  </si>
  <si>
    <t xml:space="preserve">Banded lateral walk</t>
  </si>
  <si>
    <t xml:space="preserve">dead-bug</t>
  </si>
  <si>
    <t xml:space="preserve">Dead bug</t>
  </si>
  <si>
    <t xml:space="preserve">bird-dog</t>
  </si>
  <si>
    <t xml:space="preserve">Bird dog</t>
  </si>
  <si>
    <t xml:space="preserve">scap-pushups</t>
  </si>
  <si>
    <t xml:space="preserve">Scapular push-ups</t>
  </si>
  <si>
    <t xml:space="preserve">tibialis-raise</t>
  </si>
  <si>
    <t xml:space="preserve">Tibialis raise</t>
  </si>
  <si>
    <t xml:space="preserve">calf-raise-iso</t>
  </si>
  <si>
    <t xml:space="preserve">Calf raise — isometric hold</t>
  </si>
  <si>
    <t xml:space="preserve">copenhagen-plank</t>
  </si>
  <si>
    <t xml:space="preserve">Copenhagen plank</t>
  </si>
  <si>
    <t xml:space="preserve">bear-crawl</t>
  </si>
  <si>
    <t xml:space="preserve">Animal — bear crawl</t>
  </si>
  <si>
    <t xml:space="preserve">Body Movement / Animal Locomotion</t>
  </si>
  <si>
    <t xml:space="preserve">crab-walk</t>
  </si>
  <si>
    <t xml:space="preserve">Animal — crab walk</t>
  </si>
  <si>
    <t xml:space="preserve">inchworm</t>
  </si>
  <si>
    <t xml:space="preserve">Animal — inchworm</t>
  </si>
  <si>
    <t xml:space="preserve">hip-cars</t>
  </si>
  <si>
    <t xml:space="preserve">Hip CARs</t>
  </si>
  <si>
    <t xml:space="preserve">Body Movement / CARs</t>
  </si>
  <si>
    <t xml:space="preserve">wrist-cars</t>
  </si>
  <si>
    <t xml:space="preserve">Wrist CARs</t>
  </si>
  <si>
    <t xml:space="preserve">ankle-cars</t>
  </si>
  <si>
    <t xml:space="preserve">Ankle CARs</t>
  </si>
  <si>
    <t xml:space="preserve">spine-cars</t>
  </si>
  <si>
    <t xml:space="preserve">Spine CARs</t>
  </si>
  <si>
    <t xml:space="preserve">freestyle</t>
  </si>
  <si>
    <t xml:space="preserve">Freestyle / improvisation</t>
  </si>
  <si>
    <t xml:space="preserve">Body Movement / Flow</t>
  </si>
  <si>
    <t xml:space="preserve">deep-squat-hold</t>
  </si>
  <si>
    <t xml:space="preserve">Deep squat hold</t>
  </si>
  <si>
    <t xml:space="preserve">Body Movement / Ground</t>
  </si>
  <si>
    <t xml:space="preserve">get-up-squat-stand</t>
  </si>
  <si>
    <t xml:space="preserve">Get-up — squat sit-to-stand (no hands)</t>
  </si>
  <si>
    <t xml:space="preserve">Body Movement / Ground Flow</t>
  </si>
  <si>
    <t xml:space="preserve">hollow-body-rock</t>
  </si>
  <si>
    <t xml:space="preserve">Hollow body rock</t>
  </si>
  <si>
    <t xml:space="preserve">arch-body-hold</t>
  </si>
  <si>
    <t xml:space="preserve">Arch body hold</t>
  </si>
  <si>
    <t xml:space="preserve">pike-sit-wall</t>
  </si>
  <si>
    <t xml:space="preserve">Pike sit — wall assisted compression</t>
  </si>
  <si>
    <t xml:space="preserve">straddle-sit-compression</t>
  </si>
  <si>
    <t xml:space="preserve">Straddle sit — active compression</t>
  </si>
  <si>
    <t xml:space="preserve">straddle-fold-passive</t>
  </si>
  <si>
    <t xml:space="preserve">Seated straddle fold — passive</t>
  </si>
  <si>
    <t xml:space="preserve">front-line-drill</t>
  </si>
  <si>
    <t xml:space="preserve">Front line drill — handstand bodyline</t>
  </si>
  <si>
    <t xml:space="preserve">Body Movement / Handstand</t>
  </si>
  <si>
    <t xml:space="preserve">hs-wall-plank</t>
  </si>
  <si>
    <t xml:space="preserve">Handstand — wall plank</t>
  </si>
  <si>
    <t xml:space="preserve">hs-wall-hold</t>
  </si>
  <si>
    <t xml:space="preserve">Handstand — wall hold</t>
  </si>
  <si>
    <t xml:space="preserve">wall-walk</t>
  </si>
  <si>
    <t xml:space="preserve">Wall walk</t>
  </si>
  <si>
    <t xml:space="preserve">wall-shoulder-taps</t>
  </si>
  <si>
    <t xml:space="preserve">Handstand — wall shoulder taps</t>
  </si>
  <si>
    <t xml:space="preserve">pike-pushup</t>
  </si>
  <si>
    <t xml:space="preserve">Pike push-up</t>
  </si>
  <si>
    <t xml:space="preserve">hs-kick-up</t>
  </si>
  <si>
    <t xml:space="preserve">Handstand — kick-up practice</t>
  </si>
  <si>
    <t xml:space="preserve">brachiation</t>
  </si>
  <si>
    <t xml:space="preserve">Brachiation — swing to swing</t>
  </si>
  <si>
    <t xml:space="preserve">arch-hang</t>
  </si>
  <si>
    <t xml:space="preserve">Arch hang</t>
  </si>
  <si>
    <t xml:space="preserve">meat-hook-hang</t>
  </si>
  <si>
    <t xml:space="preserve">Meat hook hang</t>
  </si>
  <si>
    <t xml:space="preserve">scap-pullups</t>
  </si>
  <si>
    <t xml:space="preserve">Scapular pull-ups</t>
  </si>
  <si>
    <t xml:space="preserve">frog-stretch</t>
  </si>
  <si>
    <t xml:space="preserve">Frog stretch</t>
  </si>
  <si>
    <t xml:space="preserve">Flexibility / Adductor</t>
  </si>
  <si>
    <t xml:space="preserve">ankle-dorsiflexion</t>
  </si>
  <si>
    <t xml:space="preserve">Ankle dorsiflexion stretch</t>
  </si>
  <si>
    <t xml:space="preserve">Flexibility / Ankle</t>
  </si>
  <si>
    <t xml:space="preserve">ankle-circles</t>
  </si>
  <si>
    <t xml:space="preserve">Ankle circles</t>
  </si>
  <si>
    <t xml:space="preserve">knee-over-toe-stretch</t>
  </si>
  <si>
    <t xml:space="preserve">Knee-over-toe stretch</t>
  </si>
  <si>
    <t xml:space="preserve">chest-doorway-stretch</t>
  </si>
  <si>
    <t xml:space="preserve">Doorway chest stretch</t>
  </si>
  <si>
    <t xml:space="preserve">Flexibility / Chest</t>
  </si>
  <si>
    <t xml:space="preserve">dynamic-stretches</t>
  </si>
  <si>
    <t xml:space="preserve">Dynamic stretches — general</t>
  </si>
  <si>
    <t xml:space="preserve">Flexibility / Dynamic</t>
  </si>
  <si>
    <t xml:space="preserve">dynamic-leg-swings</t>
  </si>
  <si>
    <t xml:space="preserve">Leg swings — dynamic</t>
  </si>
  <si>
    <t xml:space="preserve">dynamic-hip-circles</t>
  </si>
  <si>
    <t xml:space="preserve">Hip circles — dynamic</t>
  </si>
  <si>
    <t xml:space="preserve">worlds-greatest-stretch</t>
  </si>
  <si>
    <t xml:space="preserve">World's greatest stretch</t>
  </si>
  <si>
    <t xml:space="preserve">pronator-stretch</t>
  </si>
  <si>
    <t xml:space="preserve">Pronator stretch</t>
  </si>
  <si>
    <t xml:space="preserve">Flexibility / Forearm</t>
  </si>
  <si>
    <t xml:space="preserve">single-leg-hamstring-stretch</t>
  </si>
  <si>
    <t xml:space="preserve">Single-leg hamstring stretch</t>
  </si>
  <si>
    <t xml:space="preserve">hurdler-stretch</t>
  </si>
  <si>
    <t xml:space="preserve">Hurdler stretch</t>
  </si>
  <si>
    <t xml:space="preserve">bodyweight-good-morning-stretch</t>
  </si>
  <si>
    <t xml:space="preserve">Good morning stretch (bodyweight)</t>
  </si>
  <si>
    <t xml:space="preserve">tendon-glides</t>
  </si>
  <si>
    <t xml:space="preserve">Tendon glides</t>
  </si>
  <si>
    <t xml:space="preserve">Flexibility / Hand</t>
  </si>
  <si>
    <t xml:space="preserve">knee-to-chest-stretch</t>
  </si>
  <si>
    <t xml:space="preserve">Knee-to-chest stretch</t>
  </si>
  <si>
    <t xml:space="preserve">Flexibility / Lower Back</t>
  </si>
  <si>
    <t xml:space="preserve">pelvic-tilt</t>
  </si>
  <si>
    <t xml:space="preserve">Pelvic tilt</t>
  </si>
  <si>
    <t xml:space="preserve">chin-tuck</t>
  </si>
  <si>
    <t xml:space="preserve">Chin tuck / cervical retraction</t>
  </si>
  <si>
    <t xml:space="preserve">Flexibility / Neck</t>
  </si>
  <si>
    <t xml:space="preserve">standing-quad-stretch</t>
  </si>
  <si>
    <t xml:space="preserve">Standing quad stretch</t>
  </si>
  <si>
    <t xml:space="preserve">Flexibility / Quad</t>
  </si>
  <si>
    <t xml:space="preserve">foam-roll-quads</t>
  </si>
  <si>
    <t xml:space="preserve">Foam rolling — quads</t>
  </si>
  <si>
    <t xml:space="preserve">foam-roll-it-band</t>
  </si>
  <si>
    <t xml:space="preserve">Foam rolling — IT band</t>
  </si>
  <si>
    <t xml:space="preserve">foam-roll-calves</t>
  </si>
  <si>
    <t xml:space="preserve">Foam rolling — calves</t>
  </si>
  <si>
    <t xml:space="preserve">foam-roll-glutes</t>
  </si>
  <si>
    <t xml:space="preserve">Foam rolling — glutes / piriformis</t>
  </si>
  <si>
    <t xml:space="preserve">foam-roll-upper-back</t>
  </si>
  <si>
    <t xml:space="preserve">Foam rolling — upper back / lats</t>
  </si>
  <si>
    <t xml:space="preserve">shoulder-overhead-stretch</t>
  </si>
  <si>
    <t xml:space="preserve">Shoulder flexion overhead stretch</t>
  </si>
  <si>
    <t xml:space="preserve">Flexibility / Shoulder</t>
  </si>
  <si>
    <t xml:space="preserve">sleeper-stretch</t>
  </si>
  <si>
    <t xml:space="preserve">Sleeper stretch</t>
  </si>
  <si>
    <t xml:space="preserve">windshield-wipers</t>
  </si>
  <si>
    <t xml:space="preserve">Windshield wipers</t>
  </si>
  <si>
    <t xml:space="preserve">Flexibility / Spine</t>
  </si>
  <si>
    <t xml:space="preserve">squat-knee-pump</t>
  </si>
  <si>
    <t xml:space="preserve">Squat — knee-out pump</t>
  </si>
  <si>
    <t xml:space="preserve">Flexibility / Squat Mobility</t>
  </si>
  <si>
    <t xml:space="preserve">squat-heel-raise-toe-stretch</t>
  </si>
  <si>
    <t xml:space="preserve">Squat — heel raise, big toe stretch</t>
  </si>
  <si>
    <t xml:space="preserve">squat-knee-rotation-hold</t>
  </si>
  <si>
    <t xml:space="preserve">Squat — internal knee rotation hold</t>
  </si>
  <si>
    <t xml:space="preserve">bridge</t>
  </si>
  <si>
    <t xml:space="preserve">Bridge / wheel</t>
  </si>
  <si>
    <t xml:space="preserve">Flexibility / Thoracic</t>
  </si>
  <si>
    <t xml:space="preserve">bear-hug-stretch</t>
  </si>
  <si>
    <t xml:space="preserve">Bear hug stretch</t>
  </si>
  <si>
    <t xml:space="preserve">Flexibility / Upper Back</t>
  </si>
  <si>
    <t xml:space="preserve">prayer-stretch</t>
  </si>
  <si>
    <t xml:space="preserve">Prayer stretch</t>
  </si>
  <si>
    <t xml:space="preserve">Flexibility / Wrist</t>
  </si>
  <si>
    <t xml:space="preserve">wrist-circles</t>
  </si>
  <si>
    <t xml:space="preserve">Wrist circles</t>
  </si>
  <si>
    <t xml:space="preserve">shoulder-cars</t>
  </si>
  <si>
    <t xml:space="preserve">Shoulder CARs</t>
  </si>
  <si>
    <t xml:space="preserve">ankle-mobility</t>
  </si>
  <si>
    <t xml:space="preserve">Ankle mobility rocks</t>
  </si>
  <si>
    <t xml:space="preserve">open-awareness</t>
  </si>
  <si>
    <t xml:space="preserve">Open awareness / do nothing</t>
  </si>
  <si>
    <t xml:space="preserve">box-breathing</t>
  </si>
  <si>
    <t xml:space="preserve">Box breathing</t>
  </si>
  <si>
    <t xml:space="preserve">diaphragmatic-breathing</t>
  </si>
  <si>
    <t xml:space="preserve">Diaphragmatic breathing</t>
  </si>
  <si>
    <t xml:space="preserve">wim-hof</t>
  </si>
  <si>
    <t xml:space="preserve">Wim Hof breathwork</t>
  </si>
  <si>
    <t xml:space="preserve">physiological-sigh</t>
  </si>
  <si>
    <t xml:space="preserve">Physiological sigh</t>
  </si>
  <si>
    <t xml:space="preserve">extended-exhale</t>
  </si>
  <si>
    <t xml:space="preserve">Extended-exhale breathing (4–8)</t>
  </si>
  <si>
    <t xml:space="preserve">trataka</t>
  </si>
  <si>
    <t xml:space="preserve">Trataka — candle / point focus</t>
  </si>
  <si>
    <t xml:space="preserve">Meditation / Eye Training</t>
  </si>
  <si>
    <t xml:space="preserve">yoga-nidra</t>
  </si>
  <si>
    <t xml:space="preserve">Yoga nidra</t>
  </si>
  <si>
    <t xml:space="preserve">Meditation / Rest</t>
  </si>
  <si>
    <t xml:space="preserve">visualization</t>
  </si>
  <si>
    <t xml:space="preserve">Visualization — skill goals</t>
  </si>
  <si>
    <t xml:space="preserve">Meditation / Visualization</t>
  </si>
  <si>
    <t xml:space="preserve">gaze-stabilisation</t>
  </si>
  <si>
    <t xml:space="preserve">Gaze stabilisation - head turns</t>
  </si>
  <si>
    <t xml:space="preserve">stick-static</t>
  </si>
  <si>
    <t xml:space="preserve">Balance stick — static hold</t>
  </si>
  <si>
    <t xml:space="preserve">Object Manipulation / Stick Balancing</t>
  </si>
  <si>
    <t xml:space="preserve">stick-walking</t>
  </si>
  <si>
    <t xml:space="preserve">Balance stick — walking</t>
  </si>
  <si>
    <t xml:space="preserve">stick-transfer</t>
  </si>
  <si>
    <t xml:space="preserve">Balance stick — hand to hand transfer</t>
  </si>
  <si>
    <t xml:space="preserve">a-march</t>
  </si>
  <si>
    <t xml:space="preserve">A-march</t>
  </si>
  <si>
    <t xml:space="preserve">Power / Run Drills</t>
  </si>
  <si>
    <t xml:space="preserve">a-skip</t>
  </si>
  <si>
    <t xml:space="preserve">A-skip</t>
  </si>
  <si>
    <t xml:space="preserve">b-skip</t>
  </si>
  <si>
    <t xml:space="preserve">B-skip</t>
  </si>
  <si>
    <t xml:space="preserve">high-knees</t>
  </si>
  <si>
    <t xml:space="preserve">High knees</t>
  </si>
  <si>
    <t xml:space="preserve">butt-kicks</t>
  </si>
  <si>
    <t xml:space="preserve">Butt kicks</t>
  </si>
  <si>
    <t xml:space="preserve">carioca</t>
  </si>
  <si>
    <t xml:space="preserve">Carioca</t>
  </si>
  <si>
    <t xml:space="preserve">pogo-hops</t>
  </si>
  <si>
    <t xml:space="preserve">Pogo hops</t>
  </si>
  <si>
    <t xml:space="preserve">straight-leg-bound</t>
  </si>
  <si>
    <t xml:space="preserve">Straight-leg bound</t>
  </si>
  <si>
    <t xml:space="preserve">strides</t>
  </si>
  <si>
    <t xml:space="preserve">Strides</t>
  </si>
  <si>
    <t xml:space="preserve">false-grip-hang</t>
  </si>
  <si>
    <t xml:space="preserve">False grip hang</t>
  </si>
  <si>
    <t xml:space="preserve">ring-row</t>
  </si>
  <si>
    <t xml:space="preserve">Ring row — various angles</t>
  </si>
  <si>
    <t xml:space="preserve">Rings / Pulling</t>
  </si>
  <si>
    <t xml:space="preserve">false-grip-ring-row</t>
  </si>
  <si>
    <t xml:space="preserve">False grip ring row</t>
  </si>
  <si>
    <t xml:space="preserve">explosive-pullup</t>
  </si>
  <si>
    <t xml:space="preserve">Explosive / chest-to-bar pull-up</t>
  </si>
  <si>
    <t xml:space="preserve">straight-bar-dip</t>
  </si>
  <si>
    <t xml:space="preserve">Straight bar dip</t>
  </si>
  <si>
    <t xml:space="preserve">russian-dip</t>
  </si>
  <si>
    <t xml:space="preserve">Russian dip</t>
  </si>
  <si>
    <t xml:space="preserve">banded-mu-transition</t>
  </si>
  <si>
    <t xml:space="preserve">Banded muscle-up transition</t>
  </si>
  <si>
    <t xml:space="preserve">Rings / Skill</t>
  </si>
  <si>
    <t xml:space="preserve">vertical-shake</t>
  </si>
  <si>
    <t xml:space="preserve">Vertical shake</t>
  </si>
  <si>
    <t xml:space="preserve">straightjacket-shake</t>
  </si>
  <si>
    <t xml:space="preserve">Straightjacket lying shake</t>
  </si>
  <si>
    <t xml:space="preserve">body-tapping</t>
  </si>
  <si>
    <t xml:space="preserve">Body tapping / percussion</t>
  </si>
  <si>
    <t xml:space="preserve">Somatic / Self-Massage</t>
  </si>
  <si>
    <t xml:space="preserve">pandiculation</t>
  </si>
  <si>
    <t xml:space="preserve">Pandiculation sequence</t>
  </si>
  <si>
    <t xml:space="preserve">Somatic / Sensory Motor</t>
  </si>
  <si>
    <t xml:space="preserve">feldenkrais</t>
  </si>
  <si>
    <t xml:space="preserve">Feldenkrais floor sequence</t>
  </si>
  <si>
    <t xml:space="preserve">spinal-waves-standing</t>
  </si>
  <si>
    <t xml:space="preserve">Spinal waves — standing</t>
  </si>
  <si>
    <t xml:space="preserve">Somatic / Spinal Mobility</t>
  </si>
  <si>
    <t xml:space="preserve">spinal-waves-floor</t>
  </si>
  <si>
    <t xml:space="preserve">Spinal waves — floor</t>
  </si>
  <si>
    <t xml:space="preserve">yoga-cobra</t>
  </si>
  <si>
    <t xml:space="preserve">Cobra pose</t>
  </si>
  <si>
    <t xml:space="preserve">Yoga / Backbend</t>
  </si>
  <si>
    <t xml:space="preserve">yoga-fish-pose</t>
  </si>
  <si>
    <t xml:space="preserve">Fish pose</t>
  </si>
  <si>
    <t xml:space="preserve">yoga-eagle-pose</t>
  </si>
  <si>
    <t xml:space="preserve">Eagle pose</t>
  </si>
  <si>
    <t xml:space="preserve">Yoga / Balance</t>
  </si>
  <si>
    <t xml:space="preserve">yoga-sun-salutation-a</t>
  </si>
  <si>
    <t xml:space="preserve">Sun Salutation A</t>
  </si>
  <si>
    <t xml:space="preserve">Yoga / Flow</t>
  </si>
  <si>
    <t xml:space="preserve">yoga-garland-pose</t>
  </si>
  <si>
    <t xml:space="preserve">Garland pose (Malasana)</t>
  </si>
  <si>
    <t xml:space="preserve">Yoga / Hip Opener</t>
  </si>
  <si>
    <t xml:space="preserve">yoga-lizard-pose</t>
  </si>
  <si>
    <t xml:space="preserve">Lizard pose</t>
  </si>
  <si>
    <t xml:space="preserve">yoga-cow-face-pose</t>
  </si>
  <si>
    <t xml:space="preserve">Cow face pose</t>
  </si>
  <si>
    <t xml:space="preserve">yoga-butterfly</t>
  </si>
  <si>
    <t xml:space="preserve">Butterfly / bound angle</t>
  </si>
  <si>
    <t xml:space="preserve">yoga-figure-4</t>
  </si>
  <si>
    <t xml:space="preserve">Supine figure-4 stretch</t>
  </si>
  <si>
    <t xml:space="preserve">yoga-sphinx</t>
  </si>
  <si>
    <t xml:space="preserve">Sphinx pose</t>
  </si>
  <si>
    <t xml:space="preserve">yoga-thread-needle</t>
  </si>
  <si>
    <t xml:space="preserve">Thread the needle</t>
  </si>
  <si>
    <t xml:space="preserve">yoga-happy-baby</t>
  </si>
  <si>
    <t xml:space="preserve">Happy baby pose</t>
  </si>
  <si>
    <t xml:space="preserve">yoga-savasana</t>
  </si>
  <si>
    <t xml:space="preserve">Savasana</t>
  </si>
  <si>
    <t xml:space="preserve">yoga-head-to-knee-pose</t>
  </si>
  <si>
    <t xml:space="preserve">Head-to-knee pose</t>
  </si>
  <si>
    <t xml:space="preserve">Yoga / Seated</t>
  </si>
  <si>
    <t xml:space="preserve">yoga-seated-twist</t>
  </si>
  <si>
    <t xml:space="preserve">Seated spinal twist</t>
  </si>
  <si>
    <t xml:space="preserve">switch-grip-hang-beginner</t>
  </si>
  <si>
    <t xml:space="preserve">Switch grip hanging routine (beginner)</t>
  </si>
  <si>
    <t xml:space="preserve">https://www.youtube.com/watch?v=HGMOHygNNmg</t>
  </si>
  <si>
    <t xml:space="preserve">one-arm-passive-hang</t>
  </si>
  <si>
    <t xml:space="preserve">One arm passive hang</t>
  </si>
  <si>
    <t xml:space="preserve">https://www.youtube.com/watch?v=TNT51BMAR-Y</t>
  </si>
  <si>
    <t xml:space="preserve">one-arm-active-hang</t>
  </si>
  <si>
    <t xml:space="preserve">One arm active hang</t>
  </si>
  <si>
    <t xml:space="preserve">https://www.youtube.com/watch?v=ekZmL4LVkvA</t>
  </si>
  <si>
    <t xml:space="preserve">ape-swing</t>
  </si>
  <si>
    <t xml:space="preserve">The ape swing (figure "8")</t>
  </si>
  <si>
    <t xml:space="preserve">https://www.youtube.com/watch?v=ReLF790cEjA</t>
  </si>
  <si>
    <t xml:space="preserve">front-stationary-swing</t>
  </si>
  <si>
    <t xml:space="preserve">Front stationary swing</t>
  </si>
  <si>
    <t xml:space="preserve">https://www.youtube.com/watch?v=NQgD_GLkoyg</t>
  </si>
  <si>
    <t xml:space="preserve">side-side-stationary-swing</t>
  </si>
  <si>
    <t xml:space="preserve">Side to side stationary swing</t>
  </si>
  <si>
    <t xml:space="preserve">https://www.youtube.com/watch?v=C8KnSdgJ6Cc</t>
  </si>
  <si>
    <t xml:space="preserve">ido-squat-routine-2</t>
  </si>
  <si>
    <t xml:space="preserve">Ido's squat routine 2.0</t>
  </si>
  <si>
    <t xml:space="preserve">https://www.youtube.com/watch?v=lbozu0DPcYI</t>
  </si>
  <si>
    <t xml:space="preserve">low-bridge-rotations</t>
  </si>
  <si>
    <t xml:space="preserve">Low bridge rotations</t>
  </si>
  <si>
    <t xml:space="preserve">https://www.youtube.com/watch?v=v8iHrX94ONM</t>
  </si>
  <si>
    <t xml:space="preserve">scapula-mobilization-routine</t>
  </si>
  <si>
    <t xml:space="preserve">Scapula mobilization routine</t>
  </si>
  <si>
    <t xml:space="preserve">https://www.youtube.com/watch?v=y4Wo095zPnc</t>
  </si>
  <si>
    <t xml:space="preserve">lizard-crawl</t>
  </si>
  <si>
    <t xml:space="preserve">Animal — lizard crawl</t>
  </si>
  <si>
    <t xml:space="preserve">frog-hop</t>
  </si>
  <si>
    <t xml:space="preserve">Animal — frog hop</t>
  </si>
  <si>
    <t xml:space="preserve">scorpion-walk</t>
  </si>
  <si>
    <t xml:space="preserve">Animal — scorpion walk</t>
  </si>
  <si>
    <t xml:space="preserve">seal-drag</t>
  </si>
  <si>
    <t xml:space="preserve">Animal — seal drag</t>
  </si>
  <si>
    <t xml:space="preserve">balance-board</t>
  </si>
  <si>
    <t xml:space="preserve">Balance board</t>
  </si>
  <si>
    <t xml:space="preserve">Body Movement / Balance</t>
  </si>
  <si>
    <t xml:space="preserve">balance-board-single-leg</t>
  </si>
  <si>
    <t xml:space="preserve">Balance board — single leg</t>
  </si>
  <si>
    <t xml:space="preserve">balance-board-squat-hold</t>
  </si>
  <si>
    <t xml:space="preserve">Balance board — squat hold</t>
  </si>
  <si>
    <t xml:space="preserve">neck-cars</t>
  </si>
  <si>
    <t xml:space="preserve">Neck CARs</t>
  </si>
  <si>
    <t xml:space="preserve">ground-get-ups</t>
  </si>
  <si>
    <t xml:space="preserve">Ground get-ups</t>
  </si>
  <si>
    <t xml:space="preserve">ground-flow</t>
  </si>
  <si>
    <t xml:space="preserve">Ground flow — transitions</t>
  </si>
  <si>
    <t xml:space="preserve">get-up-kick-through</t>
  </si>
  <si>
    <t xml:space="preserve">Get-up — kick-through</t>
  </si>
  <si>
    <t xml:space="preserve">get-up-backward-roll</t>
  </si>
  <si>
    <t xml:space="preserve">Get-up — backward roll to stand</t>
  </si>
  <si>
    <t xml:space="preserve">ground-flow-sit-through</t>
  </si>
  <si>
    <t xml:space="preserve">Ground flow — sit-through</t>
  </si>
  <si>
    <t xml:space="preserve">ground-flow-shoulder-roll</t>
  </si>
  <si>
    <t xml:space="preserve">Ground flow — shoulder roll</t>
  </si>
  <si>
    <t xml:space="preserve">ground-flow-scorpion-reach</t>
  </si>
  <si>
    <t xml:space="preserve">Ground flow — scorpion reach</t>
  </si>
  <si>
    <t xml:space="preserve">tuck-sit</t>
  </si>
  <si>
    <t xml:space="preserve">Tuck sit — lift feet</t>
  </si>
  <si>
    <t xml:space="preserve">pike-sit-free</t>
  </si>
  <si>
    <t xml:space="preserve">Pike sit — freestanding compression</t>
  </si>
  <si>
    <t xml:space="preserve">straddle-leg-circles</t>
  </si>
  <si>
    <t xml:space="preserve">Straddle sit — leg circles</t>
  </si>
  <si>
    <t xml:space="preserve">straddle-leg-raises</t>
  </si>
  <si>
    <t xml:space="preserve">Straddle sit — leg raises</t>
  </si>
  <si>
    <t xml:space="preserve">l-sit-floor</t>
  </si>
  <si>
    <t xml:space="preserve">L-sit progression — floor</t>
  </si>
  <si>
    <t xml:space="preserve">hs-pike-entry</t>
  </si>
  <si>
    <t xml:space="preserve">Handstand — pike press entry</t>
  </si>
  <si>
    <t xml:space="preserve">hs-tuck</t>
  </si>
  <si>
    <t xml:space="preserve">Handstand — tuck freestanding</t>
  </si>
  <si>
    <t xml:space="preserve">one-arm-hang</t>
  </si>
  <si>
    <t xml:space="preserve">One-arm hang progression</t>
  </si>
  <si>
    <t xml:space="preserve">0-90-hanging-leg-raise</t>
  </si>
  <si>
    <t xml:space="preserve">0–90 hanging leg raise</t>
  </si>
  <si>
    <t xml:space="preserve">one-arm-hanging-leg-raise</t>
  </si>
  <si>
    <t xml:space="preserve">One arm hanging leg raise</t>
  </si>
  <si>
    <t xml:space="preserve">forearm-stand</t>
  </si>
  <si>
    <t xml:space="preserve">Forearm stand — wall</t>
  </si>
  <si>
    <t xml:space="preserve">Body Movement / Inversion</t>
  </si>
  <si>
    <t xml:space="preserve">headstand</t>
  </si>
  <si>
    <t xml:space="preserve">Headstand — basic</t>
  </si>
  <si>
    <t xml:space="preserve">single-leg-eyes-closed</t>
  </si>
  <si>
    <t xml:space="preserve">Single-leg stand — eyes closed</t>
  </si>
  <si>
    <t xml:space="preserve">Body Movement / Standing Balance</t>
  </si>
  <si>
    <t xml:space="preserve">heel-toe-line-walk</t>
  </si>
  <si>
    <t xml:space="preserve">Heel-to-toe line walk</t>
  </si>
  <si>
    <t xml:space="preserve">single-leg-head-turns</t>
  </si>
  <si>
    <t xml:space="preserve">Single-leg stand — head turns</t>
  </si>
  <si>
    <t xml:space="preserve">single-leg-ball-pass</t>
  </si>
  <si>
    <t xml:space="preserve">Single-leg stand — ball pass-around</t>
  </si>
  <si>
    <t xml:space="preserve">rolling-forward</t>
  </si>
  <si>
    <t xml:space="preserve">Rolling — forward</t>
  </si>
  <si>
    <t xml:space="preserve">Body Movement / Tumbling</t>
  </si>
  <si>
    <t xml:space="preserve">rolling-backward</t>
  </si>
  <si>
    <t xml:space="preserve">Rolling — backward</t>
  </si>
  <si>
    <t xml:space="preserve">rolling-side</t>
  </si>
  <si>
    <t xml:space="preserve">Rolling — side</t>
  </si>
  <si>
    <t xml:space="preserve">cartwheel</t>
  </si>
  <si>
    <t xml:space="preserve">Cartwheel</t>
  </si>
  <si>
    <t xml:space="preserve">interval-cycling</t>
  </si>
  <si>
    <t xml:space="preserve">Interval cycling</t>
  </si>
  <si>
    <t xml:space="preserve">long-run</t>
  </si>
  <si>
    <t xml:space="preserve">Long run</t>
  </si>
  <si>
    <t xml:space="preserve">side-lying-hip-stretch</t>
  </si>
  <si>
    <t xml:space="preserve">Side-lying hip / IT band stretch</t>
  </si>
  <si>
    <t xml:space="preserve">Flexibility / Abductor</t>
  </si>
  <si>
    <t xml:space="preserve">cross-leg-side-bend</t>
  </si>
  <si>
    <t xml:space="preserve">Cross-leg side bend</t>
  </si>
  <si>
    <t xml:space="preserve">horse-stance-hold</t>
  </si>
  <si>
    <t xml:space="preserve">Horse stance hold</t>
  </si>
  <si>
    <t xml:space="preserve">ankle-plantarflexion-stretch</t>
  </si>
  <si>
    <t xml:space="preserve">Ankle plantarflexion stretch</t>
  </si>
  <si>
    <t xml:space="preserve">standing-calf-stretch</t>
  </si>
  <si>
    <t xml:space="preserve">Standing calf stretch</t>
  </si>
  <si>
    <t xml:space="preserve">Flexibility / Calf</t>
  </si>
  <si>
    <t xml:space="preserve">seated-calf-stretch</t>
  </si>
  <si>
    <t xml:space="preserve">Seated calf stretch</t>
  </si>
  <si>
    <t xml:space="preserve">chest-opener-supine</t>
  </si>
  <si>
    <t xml:space="preserve">Supine chest opener</t>
  </si>
  <si>
    <t xml:space="preserve">hands-clasped-behind-back-stretch</t>
  </si>
  <si>
    <t xml:space="preserve">Hands-clasped behind-back stretch</t>
  </si>
  <si>
    <t xml:space="preserve">dynamic-arm-circles</t>
  </si>
  <si>
    <t xml:space="preserve">Arm circles — dynamic</t>
  </si>
  <si>
    <t xml:space="preserve">toe-extension-stretch</t>
  </si>
  <si>
    <t xml:space="preserve">Toe extension stretch</t>
  </si>
  <si>
    <t xml:space="preserve">Flexibility / Foot</t>
  </si>
  <si>
    <t xml:space="preserve">toe-sit-stretch</t>
  </si>
  <si>
    <t xml:space="preserve">Toe sit stretch</t>
  </si>
  <si>
    <t xml:space="preserve">arch-stretch</t>
  </si>
  <si>
    <t xml:space="preserve">Arch stretch</t>
  </si>
  <si>
    <t xml:space="preserve">supinator-stretch</t>
  </si>
  <si>
    <t xml:space="preserve">Supinator stretch</t>
  </si>
  <si>
    <t xml:space="preserve">seated-glute-stretch</t>
  </si>
  <si>
    <t xml:space="preserve">Seated glute stretch</t>
  </si>
  <si>
    <t xml:space="preserve">Flexibility / Glutes</t>
  </si>
  <si>
    <t xml:space="preserve">knee-to-opposite-shoulder-stretch</t>
  </si>
  <si>
    <t xml:space="preserve">Knee-to-opposite-shoulder stretch</t>
  </si>
  <si>
    <t xml:space="preserve">finger-extension-stretch</t>
  </si>
  <si>
    <t xml:space="preserve">Finger extension stretch</t>
  </si>
  <si>
    <t xml:space="preserve">standing-back-extension</t>
  </si>
  <si>
    <t xml:space="preserve">Standing back extension</t>
  </si>
  <si>
    <t xml:space="preserve">neck-flexion-stretch</t>
  </si>
  <si>
    <t xml:space="preserve">Neck flexion stretch</t>
  </si>
  <si>
    <t xml:space="preserve">neck-extension-stretch</t>
  </si>
  <si>
    <t xml:space="preserve">Neck extension stretch</t>
  </si>
  <si>
    <t xml:space="preserve">neck-lateral-stretch</t>
  </si>
  <si>
    <t xml:space="preserve">Lateral neck stretch</t>
  </si>
  <si>
    <t xml:space="preserve">neck-rotation-stretch</t>
  </si>
  <si>
    <t xml:space="preserve">Neck rotation stretch</t>
  </si>
  <si>
    <t xml:space="preserve">side-lying-quad-stretch</t>
  </si>
  <si>
    <t xml:space="preserve">Side-lying quad stretch</t>
  </si>
  <si>
    <t xml:space="preserve">foam-roll-adductors</t>
  </si>
  <si>
    <t xml:space="preserve">Foam rolling — adductors / inner thigh</t>
  </si>
  <si>
    <t xml:space="preserve">cross-body-shoulder-stretch</t>
  </si>
  <si>
    <t xml:space="preserve">Cross-body shoulder stretch</t>
  </si>
  <si>
    <t xml:space="preserve">overhead-triceps-stretch</t>
  </si>
  <si>
    <t xml:space="preserve">Overhead triceps stretch</t>
  </si>
  <si>
    <t xml:space="preserve">shoulder-internal-rotation-stretch</t>
  </si>
  <si>
    <t xml:space="preserve">Shoulder internal rotation stretch</t>
  </si>
  <si>
    <t xml:space="preserve">shoulder-external-rotation-stretch</t>
  </si>
  <si>
    <t xml:space="preserve">Shoulder external rotation stretch</t>
  </si>
  <si>
    <t xml:space="preserve">front-splits</t>
  </si>
  <si>
    <t xml:space="preserve">Front splits</t>
  </si>
  <si>
    <t xml:space="preserve">bridge-pushup-basic</t>
  </si>
  <si>
    <t xml:space="preserve">Bridge push-up — basic</t>
  </si>
  <si>
    <t xml:space="preserve">wrist-flexor-stretch</t>
  </si>
  <si>
    <t xml:space="preserve">Wrist flexor stretch</t>
  </si>
  <si>
    <t xml:space="preserve">wrist-extensor-stretch</t>
  </si>
  <si>
    <t xml:space="preserve">Wrist extensor stretch</t>
  </si>
  <si>
    <t xml:space="preserve">pancake-good-morning</t>
  </si>
  <si>
    <t xml:space="preserve">Pancake good morning</t>
  </si>
  <si>
    <t xml:space="preserve">Gym / Loaded Stretch</t>
  </si>
  <si>
    <t xml:space="preserve">couch-stretch-weighted</t>
  </si>
  <si>
    <t xml:space="preserve">Couch stretch — weighted</t>
  </si>
  <si>
    <t xml:space="preserve">kb-swing</t>
  </si>
  <si>
    <t xml:space="preserve">Kettlebell swing</t>
  </si>
  <si>
    <t xml:space="preserve">ring-push-up</t>
  </si>
  <si>
    <t xml:space="preserve">Ring push-up</t>
  </si>
  <si>
    <t xml:space="preserve">walking-lunge</t>
  </si>
  <si>
    <t xml:space="preserve">Walking lunge</t>
  </si>
  <si>
    <t xml:space="preserve">weighted-crunch</t>
  </si>
  <si>
    <t xml:space="preserve">Weighted crunch</t>
  </si>
  <si>
    <t xml:space="preserve">cable-twist</t>
  </si>
  <si>
    <t xml:space="preserve">Cable twist down-to-up</t>
  </si>
  <si>
    <t xml:space="preserve">cossack-squat</t>
  </si>
  <si>
    <t xml:space="preserve">Cossack squat</t>
  </si>
  <si>
    <t xml:space="preserve">jefferson-curl</t>
  </si>
  <si>
    <t xml:space="preserve">Jefferson curl</t>
  </si>
  <si>
    <t xml:space="preserve">bulgarian-split-squat</t>
  </si>
  <si>
    <t xml:space="preserve">Bulgarian split squat</t>
  </si>
  <si>
    <t xml:space="preserve">single-leg-rdl</t>
  </si>
  <si>
    <t xml:space="preserve">Single leg RDL</t>
  </si>
  <si>
    <t xml:space="preserve">half-kneeling-press</t>
  </si>
  <si>
    <t xml:space="preserve">Half kneeling shoulder press</t>
  </si>
  <si>
    <t xml:space="preserve">pallof-press</t>
  </si>
  <si>
    <t xml:space="preserve">Pallof press</t>
  </si>
  <si>
    <t xml:space="preserve">contact-juggling</t>
  </si>
  <si>
    <t xml:space="preserve">Contact juggling — palm roll</t>
  </si>
  <si>
    <t xml:space="preserve">Object Manipulation / Contact Juggling</t>
  </si>
  <si>
    <t xml:space="preserve">indian-clubs-basic</t>
  </si>
  <si>
    <t xml:space="preserve">Indian clubs — basic swings</t>
  </si>
  <si>
    <t xml:space="preserve">Object Manipulation / Indian Clubs</t>
  </si>
  <si>
    <t xml:space="preserve">indian-clubs-flows</t>
  </si>
  <si>
    <t xml:space="preserve">Indian clubs — flows</t>
  </si>
  <si>
    <t xml:space="preserve">juggling-shower</t>
  </si>
  <si>
    <t xml:space="preserve">Juggling — shower</t>
  </si>
  <si>
    <t xml:space="preserve">juggling-tennis</t>
  </si>
  <si>
    <t xml:space="preserve">Juggling — tennis</t>
  </si>
  <si>
    <t xml:space="preserve">juggling-mills-mess</t>
  </si>
  <si>
    <t xml:space="preserve">Juggling — Mills Mess</t>
  </si>
  <si>
    <t xml:space="preserve">juggling-box</t>
  </si>
  <si>
    <t xml:space="preserve">Juggling — box</t>
  </si>
  <si>
    <t xml:space="preserve">juggling-windmill</t>
  </si>
  <si>
    <t xml:space="preserve">Juggling — windmill</t>
  </si>
  <si>
    <t xml:space="preserve">juggling-factory</t>
  </si>
  <si>
    <t xml:space="preserve">Juggling — factory</t>
  </si>
  <si>
    <t xml:space="preserve">juggling-441-siteswap</t>
  </si>
  <si>
    <t xml:space="preserve">Juggling — 441 (siteswap)</t>
  </si>
  <si>
    <t xml:space="preserve">juggling-under-leg</t>
  </si>
  <si>
    <t xml:space="preserve">Juggling — under the leg</t>
  </si>
  <si>
    <t xml:space="preserve">keepie-uppies</t>
  </si>
  <si>
    <t xml:space="preserve">Football keepie-uppies</t>
  </si>
  <si>
    <t xml:space="preserve">reaction-ball-wall</t>
  </si>
  <si>
    <t xml:space="preserve">Reaction ball - wall catches</t>
  </si>
  <si>
    <t xml:space="preserve">two-ball-wall-alternating</t>
  </si>
  <si>
    <t xml:space="preserve">Two-ball wall alternating</t>
  </si>
  <si>
    <t xml:space="preserve">drop-catch-reaction</t>
  </si>
  <si>
    <t xml:space="preserve">Tennis ball drop-catch</t>
  </si>
  <si>
    <t xml:space="preserve">stick-grip-types</t>
  </si>
  <si>
    <t xml:space="preserve">Stick grip types — pronated / supinated / eagle</t>
  </si>
  <si>
    <t xml:space="preserve">stick-hip-pike-slide</t>
  </si>
  <si>
    <t xml:space="preserve">Stick koan — hip pike slide</t>
  </si>
  <si>
    <t xml:space="preserve">stick-overhead-behind-back</t>
  </si>
  <si>
    <t xml:space="preserve">Stick koan — overhead / behind-back holds</t>
  </si>
  <si>
    <t xml:space="preserve">stick-fingertip-stepover</t>
  </si>
  <si>
    <t xml:space="preserve">Stick koan — fingertip step-over</t>
  </si>
  <si>
    <t xml:space="preserve">stick-hop-jump-over</t>
  </si>
  <si>
    <t xml:space="preserve">Stick koan — hop and jump over</t>
  </si>
  <si>
    <t xml:space="preserve">stick-seated-hip-to-butt</t>
  </si>
  <si>
    <t xml:space="preserve">Stick koan — seated hip-to-butt slide</t>
  </si>
  <si>
    <t xml:space="preserve">stick-360-rotation</t>
  </si>
  <si>
    <t xml:space="preserve">Stick koan — 360° body rotation</t>
  </si>
  <si>
    <t xml:space="preserve">stick-two-stick-tangle</t>
  </si>
  <si>
    <t xml:space="preserve">Stick koan — two-stick tangle</t>
  </si>
  <si>
    <t xml:space="preserve">stick-feet-balance-transition</t>
  </si>
  <si>
    <t xml:space="preserve">Stick koan — feet balance to prone transition</t>
  </si>
  <si>
    <t xml:space="preserve">tennis-ball-punch</t>
  </si>
  <si>
    <t xml:space="preserve">Punch tennis ball vs wall</t>
  </si>
  <si>
    <t xml:space="preserve">tennis-ball-floor</t>
  </si>
  <si>
    <t xml:space="preserve">Floor tennis ball taps</t>
  </si>
  <si>
    <t xml:space="preserve">tennis-ball-dribble</t>
  </si>
  <si>
    <t xml:space="preserve">Tennis ball wall dribble</t>
  </si>
  <si>
    <t xml:space="preserve">vertical-jump</t>
  </si>
  <si>
    <t xml:space="preserve">Vertical jump</t>
  </si>
  <si>
    <t xml:space="preserve">stair-jump</t>
  </si>
  <si>
    <t xml:space="preserve">Stair jump — bounding</t>
  </si>
  <si>
    <t xml:space="preserve">depth-jump</t>
  </si>
  <si>
    <t xml:space="preserve">Depth jump</t>
  </si>
  <si>
    <t xml:space="preserve">Power / Reactive</t>
  </si>
  <si>
    <t xml:space="preserve">med-ball-rotational</t>
  </si>
  <si>
    <t xml:space="preserve">Medicine ball rotational throw</t>
  </si>
  <si>
    <t xml:space="preserve">l-sit-rings</t>
  </si>
  <si>
    <t xml:space="preserve">L-sit on rings</t>
  </si>
  <si>
    <t xml:space="preserve">Rings / Compression</t>
  </si>
  <si>
    <t xml:space="preserve">ring-pull-up</t>
  </si>
  <si>
    <t xml:space="preserve">Ring pull-up</t>
  </si>
  <si>
    <t xml:space="preserve">skin-the-cat</t>
  </si>
  <si>
    <t xml:space="preserve">Skin the cat</t>
  </si>
  <si>
    <t xml:space="preserve">neck-glide-isolation</t>
  </si>
  <si>
    <t xml:space="preserve">Neck glide isolation</t>
  </si>
  <si>
    <t xml:space="preserve">Somatic / Finite Isolation</t>
  </si>
  <si>
    <t xml:space="preserve">sternum-glide-isolation</t>
  </si>
  <si>
    <t xml:space="preserve">Sternum glide isolation</t>
  </si>
  <si>
    <t xml:space="preserve">yoga-mountain-pose</t>
  </si>
  <si>
    <t xml:space="preserve">Mountain pose</t>
  </si>
  <si>
    <t xml:space="preserve">yoga-downward-dog</t>
  </si>
  <si>
    <t xml:space="preserve">Downward-facing dog</t>
  </si>
  <si>
    <t xml:space="preserve">yoga-upward-dog</t>
  </si>
  <si>
    <t xml:space="preserve">Upward-facing dog</t>
  </si>
  <si>
    <t xml:space="preserve">yoga-low-lunge</t>
  </si>
  <si>
    <t xml:space="preserve">Low lunge</t>
  </si>
  <si>
    <t xml:space="preserve">yoga-warrior-1</t>
  </si>
  <si>
    <t xml:space="preserve">Warrior I</t>
  </si>
  <si>
    <t xml:space="preserve">yoga-warrior-2</t>
  </si>
  <si>
    <t xml:space="preserve">Warrior II</t>
  </si>
  <si>
    <t xml:space="preserve">yoga-extended-side-angle</t>
  </si>
  <si>
    <t xml:space="preserve">Extended side angle</t>
  </si>
  <si>
    <t xml:space="preserve">yoga-triangle</t>
  </si>
  <si>
    <t xml:space="preserve">Triangle pose</t>
  </si>
  <si>
    <t xml:space="preserve">yoga-standing-forward-fold</t>
  </si>
  <si>
    <t xml:space="preserve">Standing forward fold</t>
  </si>
  <si>
    <t xml:space="preserve">yoga-hero-pose</t>
  </si>
  <si>
    <t xml:space="preserve">Hero pose</t>
  </si>
  <si>
    <t xml:space="preserve">Yoga / Kneeling</t>
  </si>
  <si>
    <t xml:space="preserve">frog-stand</t>
  </si>
  <si>
    <t xml:space="preserve">Frog stand</t>
  </si>
  <si>
    <t xml:space="preserve">Body Movement / Arm Balancing</t>
  </si>
  <si>
    <t xml:space="preserve">https://www.youtube.com/watch?v=kKVJuYVhL1U</t>
  </si>
  <si>
    <t xml:space="preserve">corta-capim</t>
  </si>
  <si>
    <t xml:space="preserve">Corta Capim</t>
  </si>
  <si>
    <t xml:space="preserve">Body Movement / Floreio</t>
  </si>
  <si>
    <t xml:space="preserve">https://www.youtube.com/watch?v=paFCJKPElto</t>
  </si>
  <si>
    <t xml:space="preserve">au-cortado</t>
  </si>
  <si>
    <t xml:space="preserve">Au Cortado</t>
  </si>
  <si>
    <t xml:space="preserve">https://www.youtube.com/watch?v=b6F1plVRGSw</t>
  </si>
  <si>
    <t xml:space="preserve">role-into-au-cortado</t>
  </si>
  <si>
    <t xml:space="preserve">Role → Au Cortado</t>
  </si>
  <si>
    <t xml:space="preserve">https://www.youtube.com/watch?v=P8kZlDX_gMY</t>
  </si>
  <si>
    <t xml:space="preserve">half-au-cortado</t>
  </si>
  <si>
    <t xml:space="preserve">Half Au Cortado</t>
  </si>
  <si>
    <t xml:space="preserve">https://www.youtube.com/watch?v=wrWE6CCwOlw</t>
  </si>
  <si>
    <t xml:space="preserve">reverse-corta-capim-au-cortado</t>
  </si>
  <si>
    <t xml:space="preserve">Reverse Corta Capim → Au Cortado</t>
  </si>
  <si>
    <t xml:space="preserve">https://www.youtube.com/watch?v=QzNBBu8U68U</t>
  </si>
  <si>
    <t xml:space="preserve">qdr-circles</t>
  </si>
  <si>
    <t xml:space="preserve">QDR circles</t>
  </si>
  <si>
    <t xml:space="preserve">https://www.youtube.com/watch?v=dL2atsbe9dk</t>
  </si>
  <si>
    <t xml:space="preserve">role-into-qdr</t>
  </si>
  <si>
    <t xml:space="preserve">Roll into QDR rotational push-up</t>
  </si>
  <si>
    <t xml:space="preserve">https://www.youtube.com/watch?v=1KX_88bHuSA</t>
  </si>
  <si>
    <t xml:space="preserve">the-centaur</t>
  </si>
  <si>
    <t xml:space="preserve">The Centaur</t>
  </si>
  <si>
    <t xml:space="preserve">https://www.youtube.com/watch?v=sDD1P5rBuZQ</t>
  </si>
  <si>
    <t xml:space="preserve">handstand-blocks-climbs</t>
  </si>
  <si>
    <t xml:space="preserve">Handstand blocks climbs</t>
  </si>
  <si>
    <t xml:space="preserve">https://www.youtube.com/watch?v=klcI1W6z15c</t>
  </si>
  <si>
    <t xml:space="preserve">10min-handstand-taps</t>
  </si>
  <si>
    <t xml:space="preserve">10 min handstand taps</t>
  </si>
  <si>
    <t xml:space="preserve">https://www.youtube.com/watch?v=eHc6VtpTtKY</t>
  </si>
  <si>
    <t xml:space="preserve">switch-grip-hang-advanced</t>
  </si>
  <si>
    <t xml:space="preserve">Switch grip hanging routine (advanced)</t>
  </si>
  <si>
    <t xml:space="preserve">https://www.youtube.com/watch?v=_WsYQE3Yk1o</t>
  </si>
  <si>
    <t xml:space="preserve">90-90-iso-pullup-hang</t>
  </si>
  <si>
    <t xml:space="preserve">90–90 iso pull-up hang</t>
  </si>
  <si>
    <t xml:space="preserve">https://www.youtube.com/watch?v=ser9v-XfQwE</t>
  </si>
  <si>
    <t xml:space="preserve">press-hs-pike</t>
  </si>
  <si>
    <t xml:space="preserve">Press handstand prep — pike entry</t>
  </si>
  <si>
    <t xml:space="preserve">notyet</t>
  </si>
  <si>
    <t xml:space="preserve">stalder-prep</t>
  </si>
  <si>
    <t xml:space="preserve">Stalder press prep — straddle entry</t>
  </si>
  <si>
    <t xml:space="preserve">v-sit</t>
  </si>
  <si>
    <t xml:space="preserve">V-sit progression</t>
  </si>
  <si>
    <t xml:space="preserve">hs-straddle</t>
  </si>
  <si>
    <t xml:space="preserve">Handstand — straddle freestanding</t>
  </si>
  <si>
    <t xml:space="preserve">hs-straight</t>
  </si>
  <si>
    <t xml:space="preserve">Handstand — straight body</t>
  </si>
  <si>
    <t xml:space="preserve">hs-walking</t>
  </si>
  <si>
    <t xml:space="preserve">Handstand — walking</t>
  </si>
  <si>
    <t xml:space="preserve">thick-grip-oac</t>
  </si>
  <si>
    <t xml:space="preserve">Thick grip OAC (one arm chin-up)</t>
  </si>
  <si>
    <t xml:space="preserve">round-off</t>
  </si>
  <si>
    <t xml:space="preserve">Round-off</t>
  </si>
  <si>
    <t xml:space="preserve">back-lever</t>
  </si>
  <si>
    <t xml:space="preserve">Back lever progressions</t>
  </si>
  <si>
    <t xml:space="preserve">Rings / Lever</t>
  </si>
  <si>
    <t xml:space="preserve">front-lever</t>
  </si>
  <si>
    <t xml:space="preserve">Front lever progressions</t>
  </si>
  <si>
    <t xml:space="preserve">archer-pull-up</t>
  </si>
  <si>
    <t xml:space="preserve">Archer ring pull-up</t>
  </si>
  <si>
    <t xml:space="preserve">typewriter-pull-up</t>
  </si>
  <si>
    <t xml:space="preserve">Typewriter pull-up</t>
  </si>
  <si>
    <t xml:space="preserve">muscle-up-kipping</t>
  </si>
  <si>
    <t xml:space="preserve">Muscle-up — kipping</t>
  </si>
  <si>
    <t xml:space="preserve">muscle-up-strict</t>
  </si>
  <si>
    <t xml:space="preserve">Muscle-up — strict</t>
  </si>
  <si>
    <t xml:space="preserve">air-baby</t>
  </si>
  <si>
    <t xml:space="preserve">Air baby</t>
  </si>
  <si>
    <t xml:space="preserve">https://www.youtube.com/watch?v=Vw9O5wZnQfA</t>
  </si>
  <si>
    <t xml:space="preserve">air-baby-extensions</t>
  </si>
  <si>
    <t xml:space="preserve">Air baby extensions</t>
  </si>
  <si>
    <t xml:space="preserve">https://www.youtube.com/watch?v=VuIInXmhQzY</t>
  </si>
  <si>
    <t xml:space="preserve">corta-capim-bridge-qdr-combo</t>
  </si>
  <si>
    <t xml:space="preserve">Corta Capim rotations → bridge rotation → QDR exit</t>
  </si>
  <si>
    <t xml:space="preserve">https://www.youtube.com/watch?v=ej9WqabRAVk</t>
  </si>
  <si>
    <t xml:space="preserve">au-cortado-presses</t>
  </si>
  <si>
    <t xml:space="preserve">Au Cortado presses</t>
  </si>
  <si>
    <t xml:space="preserve">https://www.youtube.com/watch?v=tCIqXm4BuCI</t>
  </si>
  <si>
    <t xml:space="preserve">qdr-rotational-pushups</t>
  </si>
  <si>
    <t xml:space="preserve">QDR rotational push-ups</t>
  </si>
  <si>
    <t xml:space="preserve">https://www.youtube.com/watch?v=5PVcIqRI0TM</t>
  </si>
  <si>
    <t xml:space="preserve">half-au-role-qdr-combo</t>
  </si>
  <si>
    <t xml:space="preserve">Half Au Cortado + Role + QDR</t>
  </si>
  <si>
    <t xml:space="preserve">https://www.youtube.com/watch?v=_J6OTWeR7GQ</t>
  </si>
  <si>
    <t xml:space="preserve">eccentric-pistol-side-pushup-intermediate</t>
  </si>
  <si>
    <t xml:space="preserve">Eccentric pistol + one arm side push-up (intermediate)</t>
  </si>
  <si>
    <t xml:space="preserve">https://www.youtube.com/watch?v=vH4PvfbcL3E</t>
  </si>
  <si>
    <t xml:space="preserve">eccentric-pistol-side-pushup-advanced</t>
  </si>
  <si>
    <t xml:space="preserve">Pistol + one arm side push-up (advanced)</t>
  </si>
  <si>
    <t xml:space="preserve">https://www.youtube.com/watch?v=5dZrKPEF1Tg</t>
  </si>
  <si>
    <t xml:space="preserve">mechanical-advantage-planche-pushup</t>
  </si>
  <si>
    <t xml:space="preserve">Mechanical advantage planche push-up</t>
  </si>
  <si>
    <t xml:space="preserve">https://www.youtube.com/watch?v=ChQha6QgdvI</t>
  </si>
  <si>
    <t xml:space="preserve">extended-hollow-back-hspu</t>
  </si>
  <si>
    <t xml:space="preserve">Extended hollow-back handstand push-up</t>
  </si>
  <si>
    <t xml:space="preserve">https://www.youtube.com/watch?v=PlpOW-Vozfg</t>
  </si>
  <si>
    <t xml:space="preserve">90-90-one-arm-iso-chin</t>
  </si>
  <si>
    <t xml:space="preserve">90–90 one arm iso chin-up hang</t>
  </si>
  <si>
    <t xml:space="preserve">https://www.youtube.com/watch?v=iAR5ISq1Lvw</t>
  </si>
  <si>
    <t xml:space="preserve">bridge-pushup-one-leg</t>
  </si>
  <si>
    <t xml:space="preserve">Bridge push-up — one leg</t>
  </si>
  <si>
    <t xml:space="preserve">https://www.youtube.com/watch?v=tgLotMkGGf0</t>
  </si>
  <si>
    <t xml:space="preserve">bridge-pushup-one-arm</t>
  </si>
  <si>
    <t xml:space="preserve">Bridge push-up — one arm</t>
  </si>
  <si>
    <t xml:space="preserve">https://www.youtube.com/watch?v=Z_hxSKLZWTA</t>
  </si>
  <si>
    <t xml:space="preserve">high-bridge-rotations</t>
  </si>
  <si>
    <t xml:space="preserve">High bridge rotations</t>
  </si>
  <si>
    <t xml:space="preserve">https://www.youtube.com/watch?v=rJ6mSnBWk-g</t>
  </si>
  <si>
    <t xml:space="preserve">inverted-muscle-up-elevator</t>
  </si>
  <si>
    <t xml:space="preserve">Inverted muscle-up ("Elevator")</t>
  </si>
  <si>
    <t xml:space="preserve">https://www.youtube.com/watch?v=0qyRqSbfCNM</t>
  </si>
  <si>
    <t xml:space="preserve">custom_ex_scapular-pull-up</t>
  </si>
  <si>
    <t xml:space="preserve">Scapular pull-up</t>
  </si>
  <si>
    <t xml:space="preserve">custom</t>
  </si>
  <si>
    <t xml:space="preserve">custom_ex_pullup-negative</t>
  </si>
  <si>
    <t xml:space="preserve">Pull-up negative</t>
  </si>
  <si>
    <t xml:space="preserve">custom_ex_false-grip-dead-hang</t>
  </si>
  <si>
    <t xml:space="preserve">False grip dead hang</t>
  </si>
  <si>
    <t xml:space="preserve">custom_ex_false-grip-ring-row</t>
  </si>
  <si>
    <t xml:space="preserve">duplicate of library false-grip-ring-row</t>
  </si>
  <si>
    <t xml:space="preserve">custom_ex_ring-dip-negative</t>
  </si>
  <si>
    <t xml:space="preserve">Ring dip negative</t>
  </si>
  <si>
    <t xml:space="preserve">custom_ex_back-to-wall-hs</t>
  </si>
  <si>
    <t xml:space="preserve">Back-to-wall handstand hold</t>
  </si>
  <si>
    <t xml:space="preserve">custom_ex_shrimp-squat</t>
  </si>
  <si>
    <t xml:space="preserve">Shrimp squat</t>
  </si>
  <si>
    <t xml:space="preserve">custom_ex_one-leg-lsit</t>
  </si>
  <si>
    <t xml:space="preserve">One-leg L-sit</t>
  </si>
  <si>
    <t xml:space="preserve">custom_ex_single-leg-box-squat</t>
  </si>
  <si>
    <t xml:space="preserve">Single-leg box squat</t>
  </si>
  <si>
    <t xml:space="preserve">custom_ex_copenhagen-plank</t>
  </si>
  <si>
    <t xml:space="preserve">duplicate of library copenhagen-plank</t>
  </si>
  <si>
    <t xml:space="preserve">custom_ex_assisted-pistol-squat</t>
  </si>
  <si>
    <t xml:space="preserve">Assisted pistol squat</t>
  </si>
  <si>
    <t xml:space="preserve">custom_ex_pistol-squat</t>
  </si>
  <si>
    <t xml:space="preserve">Pistol squat</t>
  </si>
  <si>
    <t xml:space="preserve">custom_ex_hanging-knee-raise</t>
  </si>
  <si>
    <t xml:space="preserve">Hanging knee raise</t>
  </si>
  <si>
    <t xml:space="preserve">custom_ex_tuck-back-lever</t>
  </si>
  <si>
    <t xml:space="preserve">Tuck back lever hold</t>
  </si>
  <si>
    <t xml:space="preserve">custom_ex_tuck-front-lever</t>
  </si>
  <si>
    <t xml:space="preserve">Tuck front lever hold</t>
  </si>
  <si>
    <t xml:space="preserve">custom_ex_1781454076909</t>
  </si>
  <si>
    <t xml:space="preserve">Wall Pike Pulses</t>
  </si>
  <si>
    <t xml:space="preserve">https://www.youtube.com/watch?v=ifi7-8jRvBI</t>
  </si>
  <si>
    <t xml:space="preserve">Wall acceleration drill</t>
  </si>
  <si>
    <t xml:space="preserve">intake</t>
  </si>
  <si>
    <t xml:space="preserve">library-intake.md</t>
  </si>
  <si>
    <t xml:space="preserve">Mini-hurdle hops</t>
  </si>
  <si>
    <t xml:space="preserve">Snap-down / stick landing</t>
  </si>
  <si>
    <t xml:space="preserve">Split squat isometric hold (rear foot elevated)</t>
  </si>
  <si>
    <t xml:space="preserve">Spanish squat</t>
  </si>
  <si>
    <t xml:space="preserve">Nordic hamstring curl</t>
  </si>
  <si>
    <t xml:space="preserve">Head-tilt edge walk</t>
  </si>
  <si>
    <t xml:space="preserve">Turning edge walk</t>
  </si>
  <si>
    <t xml:space="preserve">Eyes-closed single-leg edge balance with taps</t>
  </si>
  <si>
    <t xml:space="preserve">Eyes-closed edge squat</t>
  </si>
  <si>
    <t xml:space="preserve">Single-leg edge balance gaze shifts</t>
  </si>
  <si>
    <t xml:space="preserve">Edge walk + ball bounce</t>
  </si>
  <si>
    <t xml:space="preserve">Low bar drill (bar muscle-up)</t>
  </si>
  <si>
    <t xml:space="preserve">Turtle hold</t>
  </si>
  <si>
    <t xml:space="preserve">Slingshot rebound plank</t>
  </si>
  <si>
    <t xml:space="preserve">Sit-through / hip switch</t>
  </si>
  <si>
    <t xml:space="preserve">Sprawl</t>
  </si>
  <si>
    <t xml:space="preserve">Level-change penetration step</t>
  </si>
  <si>
    <t xml:space="preserve">Donkey kicks</t>
  </si>
  <si>
    <t xml:space="preserve">Two-limbs negativa</t>
  </si>
  <si>
    <t xml:space="preserve">Wheel whip</t>
  </si>
  <si>
    <t xml:space="preserve">Breakfalls</t>
  </si>
  <si>
    <t xml:space="preserve">Standing back arch into bridge</t>
  </si>
  <si>
    <t xml:space="preserve">Isometric mid-thigh pull against pins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</si>
</sst>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1"/>
      <color rgb="FFFFFFFF"/>
      <name val="Arial"/>
      <family val="0"/>
      <charset val="1"/>
    </font>
    <font>
      <b val="true"/>
      <sz val="11"/>
      <color theme="1"/>
      <name val="Arial"/>
      <family val="0"/>
      <charset val="1"/>
    </font>
    <font>
      <sz val="11"/>
      <name val="Arial"/>
      <family val="0"/>
      <charset val="1"/>
    </font>
    <font>
      <u val="single"/>
      <sz val="11"/>
      <color rgb="FF0563C1"/>
      <name val="Arial"/>
      <family val="0"/>
      <charset val="1"/>
    </font>
  </fonts>
  <fills count="4">
    <fill>
      <patternFill patternType="none"/>
    </fill>
    <fill>
      <patternFill patternType="gray125"/>
    </fill>
    <fill>
      <patternFill patternType="solid">
        <fgColor rgb="FF334155"/>
        <bgColor rgb="FF333399"/>
      </patternFill>
    </fill>
    <fill>
      <patternFill patternType="solid">
        <fgColor rgb="FFFFF2A8"/>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34155"/>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youtube.com/watch?v=FZvvs9rx4gs" TargetMode="External"/><Relationship Id="rId2" Type="http://schemas.openxmlformats.org/officeDocument/2006/relationships/hyperlink" Target="https://www.youtube.com/watch?v=6k9VQNN8B5U" TargetMode="External"/><Relationship Id="rId3" Type="http://schemas.openxmlformats.org/officeDocument/2006/relationships/hyperlink" Target="https://www.youtube.com/watch?v=VzHQUh5jzsI" TargetMode="External"/><Relationship Id="rId4" Type="http://schemas.openxmlformats.org/officeDocument/2006/relationships/hyperlink" Target="https://www.youtube.com/watch?v=KLb758dtKwU" TargetMode="External"/><Relationship Id="rId5" Type="http://schemas.openxmlformats.org/officeDocument/2006/relationships/hyperlink" Target="https://raw.githubusercontent.com/yuhonas/free-exercise-db/main/exercises/Band_Pull_Apart/0.jpg" TargetMode="External"/><Relationship Id="rId6" Type="http://schemas.openxmlformats.org/officeDocument/2006/relationships/hyperlink" Target="https://www.youtube.com/watch?v=G-bxQY57mKc" TargetMode="External"/><Relationship Id="rId7" Type="http://schemas.openxmlformats.org/officeDocument/2006/relationships/hyperlink" Target="https://raw.githubusercontent.com/yuhonas/free-exercise-db/main/exercises/Front_Box_Jump/1.jpg" TargetMode="External"/><Relationship Id="rId8" Type="http://schemas.openxmlformats.org/officeDocument/2006/relationships/hyperlink" Target="https://www.youtube.com/watch?v=dVgtvAXeBQw" TargetMode="External"/><Relationship Id="rId9" Type="http://schemas.openxmlformats.org/officeDocument/2006/relationships/hyperlink" Target="https://www.youtube.com/watch?v=OeLb503NZHk" TargetMode="External"/><Relationship Id="rId10" Type="http://schemas.openxmlformats.org/officeDocument/2006/relationships/hyperlink" Target="https://raw.githubusercontent.com/yuhonas/free-exercise-db/main/exercises/Seated_Cable_Rows/0.jpg" TargetMode="External"/><Relationship Id="rId11" Type="http://schemas.openxmlformats.org/officeDocument/2006/relationships/hyperlink" Target="https://www.youtube.com/watch?v=oSkF3CCExnY" TargetMode="External"/><Relationship Id="rId12" Type="http://schemas.openxmlformats.org/officeDocument/2006/relationships/hyperlink" Target="https://www.youtube.com/watch?v=4HqMXMn3FBk" TargetMode="External"/><Relationship Id="rId13" Type="http://schemas.openxmlformats.org/officeDocument/2006/relationships/hyperlink" Target="https://raw.githubusercontent.com/yuhonas/free-exercise-db/main/exercises/External_Rotation_with_Band/1.jpg" TargetMode="External"/><Relationship Id="rId14" Type="http://schemas.openxmlformats.org/officeDocument/2006/relationships/hyperlink" Target="https://www.youtube.com/watch?v=dfPY10zCZxQ" TargetMode="External"/><Relationship Id="rId15" Type="http://schemas.openxmlformats.org/officeDocument/2006/relationships/hyperlink" Target="https://www.youtube.com/watch?v=NH7Xv-7NQNQ" TargetMode="External"/><Relationship Id="rId16" Type="http://schemas.openxmlformats.org/officeDocument/2006/relationships/hyperlink" Target="https://raw.githubusercontent.com/yuhonas/free-exercise-db/main/exercises/Farmers_Walk/1.jpg" TargetMode="External"/><Relationship Id="rId17" Type="http://schemas.openxmlformats.org/officeDocument/2006/relationships/hyperlink" Target="https://www.youtube.com/watch?v=xjWfi4S6yOI" TargetMode="External"/><Relationship Id="rId18" Type="http://schemas.openxmlformats.org/officeDocument/2006/relationships/hyperlink" Target="https://www.youtube.com/watch?v=mJObkwsEkWs" TargetMode="External"/><Relationship Id="rId19" Type="http://schemas.openxmlformats.org/officeDocument/2006/relationships/hyperlink" Target="https://raw.githubusercontent.com/yuhonas/free-exercise-db/main/exercises/Barbell_Hip_Thrust/0.jpg" TargetMode="External"/><Relationship Id="rId20" Type="http://schemas.openxmlformats.org/officeDocument/2006/relationships/hyperlink" Target="https://www.youtube.com/watch?v=5kyLUGVq_pk" TargetMode="External"/><Relationship Id="rId21" Type="http://schemas.openxmlformats.org/officeDocument/2006/relationships/hyperlink" Target="https://raw.githubusercontent.com/yuhonas/free-exercise-db/main/exercises/Barbell_Incline_Bench_Press_-_Medium_Grip/0.jpg" TargetMode="External"/><Relationship Id="rId22" Type="http://schemas.openxmlformats.org/officeDocument/2006/relationships/hyperlink" Target="https://www.youtube.com/watch?v=3r0Kd3G4kek" TargetMode="External"/><Relationship Id="rId23" Type="http://schemas.openxmlformats.org/officeDocument/2006/relationships/hyperlink" Target="https://www.youtube.com/watch?v=pgrWjBfaFe8" TargetMode="External"/><Relationship Id="rId24" Type="http://schemas.openxmlformats.org/officeDocument/2006/relationships/hyperlink" Target="https://raw.githubusercontent.com/yuhonas/free-exercise-db/main/exercises/Side_Lateral_Raise/1.jpg" TargetMode="External"/><Relationship Id="rId25" Type="http://schemas.openxmlformats.org/officeDocument/2006/relationships/hyperlink" Target="https://www.youtube.com/watch?v=4RkHIxk-K8Q" TargetMode="External"/><Relationship Id="rId26" Type="http://schemas.openxmlformats.org/officeDocument/2006/relationships/hyperlink" Target="https://www.youtube.com/watch?v=KEAS2bypjFg" TargetMode="External"/><Relationship Id="rId27" Type="http://schemas.openxmlformats.org/officeDocument/2006/relationships/hyperlink" Target="https://raw.githubusercontent.com/yuhonas/free-exercise-db/main/exercises/Standing_Military_Press/1.jpg" TargetMode="External"/><Relationship Id="rId28" Type="http://schemas.openxmlformats.org/officeDocument/2006/relationships/hyperlink" Target="https://www.youtube.com/watch?v=RhdUV4F_ybM" TargetMode="External"/><Relationship Id="rId29" Type="http://schemas.openxmlformats.org/officeDocument/2006/relationships/hyperlink" Target="https://www.youtube.com/watch?v=DY4wvmSDP0g" TargetMode="External"/><Relationship Id="rId30" Type="http://schemas.openxmlformats.org/officeDocument/2006/relationships/hyperlink" Target="https://www.youtube.com/watch?v=6IWGetY9qLw" TargetMode="External"/><Relationship Id="rId31" Type="http://schemas.openxmlformats.org/officeDocument/2006/relationships/hyperlink" Target="https://www.youtube.com/watch?v=j2r4iMy8Hb0" TargetMode="External"/><Relationship Id="rId32" Type="http://schemas.openxmlformats.org/officeDocument/2006/relationships/hyperlink" Target="https://www.youtube.com/watch?v=JNHxkeRmMws" TargetMode="External"/><Relationship Id="rId33" Type="http://schemas.openxmlformats.org/officeDocument/2006/relationships/hyperlink" Target="https://www.youtube.com/watch?v=MHc-rbfSbwk" TargetMode="External"/><Relationship Id="rId34" Type="http://schemas.openxmlformats.org/officeDocument/2006/relationships/hyperlink" Target="https://www.youtube.com/watch?v=YRPh_GaiL8s" TargetMode="External"/><Relationship Id="rId35" Type="http://schemas.openxmlformats.org/officeDocument/2006/relationships/hyperlink" Target="https://www.youtube.com/watch?v=WKo4APrwfXQ" TargetMode="External"/><Relationship Id="rId36" Type="http://schemas.openxmlformats.org/officeDocument/2006/relationships/hyperlink" Target="https://www.youtube.com/watch?v=jBZCzK9zlxk" TargetMode="External"/><Relationship Id="rId37" Type="http://schemas.openxmlformats.org/officeDocument/2006/relationships/hyperlink" Target="https://www.youtube.com/watch?v=XxWcirHIwVo" TargetMode="External"/><Relationship Id="rId38" Type="http://schemas.openxmlformats.org/officeDocument/2006/relationships/hyperlink" Target="https://raw.githubusercontent.com/yuhonas/free-exercise-db/main/exercises/Barbell_Deadlift/0.jpg" TargetMode="External"/><Relationship Id="rId39" Type="http://schemas.openxmlformats.org/officeDocument/2006/relationships/hyperlink" Target="https://www.youtube.com/watch?v=ljgqer1ZpXg" TargetMode="External"/><Relationship Id="rId40" Type="http://schemas.openxmlformats.org/officeDocument/2006/relationships/hyperlink" Target="https://raw.githubusercontent.com/yuhonas/free-exercise-db/main/exercises/Face_Pull/0.jpg" TargetMode="External"/><Relationship Id="rId41" Type="http://schemas.openxmlformats.org/officeDocument/2006/relationships/hyperlink" Target="https://www.youtube.com/watch?v=Un4TtjbHLjg" TargetMode="External"/><Relationship Id="rId42" Type="http://schemas.openxmlformats.org/officeDocument/2006/relationships/hyperlink" Target="https://www.youtube.com/watch?v=Oc6gHIS7Qos" TargetMode="External"/><Relationship Id="rId43" Type="http://schemas.openxmlformats.org/officeDocument/2006/relationships/hyperlink" Target="https://www.youtube.com/watch?v=5KaDOUeMY98" TargetMode="External"/><Relationship Id="rId44" Type="http://schemas.openxmlformats.org/officeDocument/2006/relationships/hyperlink" Target="https://www.youtube.com/watch?v=h_wtmUMu0MU" TargetMode="External"/><Relationship Id="rId45" Type="http://schemas.openxmlformats.org/officeDocument/2006/relationships/hyperlink" Target="https://www.youtube.com/watch?v=2W7Dhf6n5aM" TargetMode="External"/><Relationship Id="rId46" Type="http://schemas.openxmlformats.org/officeDocument/2006/relationships/hyperlink" Target="https://www.youtube.com/watch?v=B6--yoHH_Mw" TargetMode="External"/><Relationship Id="rId47" Type="http://schemas.openxmlformats.org/officeDocument/2006/relationships/hyperlink" Target="https://www.youtube.com/watch?v=t4Zz6-aG8Iw" TargetMode="External"/><Relationship Id="rId48" Type="http://schemas.openxmlformats.org/officeDocument/2006/relationships/hyperlink" Target="https://www.youtube.com/watch?v=HAfUt2Cco74" TargetMode="External"/><Relationship Id="rId49" Type="http://schemas.openxmlformats.org/officeDocument/2006/relationships/hyperlink" Target="https://www.youtube.com/watch?v=SHYDbOLrU1w" TargetMode="External"/><Relationship Id="rId50" Type="http://schemas.openxmlformats.org/officeDocument/2006/relationships/hyperlink" Target="https://www.youtube.com/watch?v=nkAMDSNXCxY" TargetMode="External"/><Relationship Id="rId51" Type="http://schemas.openxmlformats.org/officeDocument/2006/relationships/hyperlink" Target="https://www.youtube.com/watch?v=Mf04OllYlOM" TargetMode="External"/><Relationship Id="rId52" Type="http://schemas.openxmlformats.org/officeDocument/2006/relationships/hyperlink" Target="https://www.youtube.com/watch?v=rDeneW2EoxQ" TargetMode="External"/><Relationship Id="rId53" Type="http://schemas.openxmlformats.org/officeDocument/2006/relationships/hyperlink" Target="https://www.youtube.com/watch?v=SSbNtVfMdgM" TargetMode="External"/><Relationship Id="rId54" Type="http://schemas.openxmlformats.org/officeDocument/2006/relationships/hyperlink" Target="https://www.youtube.com/watch?v=lsMGmkvzFsE" TargetMode="External"/><Relationship Id="rId55" Type="http://schemas.openxmlformats.org/officeDocument/2006/relationships/hyperlink" Target="https://raw.githubusercontent.com/yuhonas/free-exercise-db/main/exercises/Overhead_Slam/1.jpg" TargetMode="External"/><Relationship Id="rId56" Type="http://schemas.openxmlformats.org/officeDocument/2006/relationships/hyperlink" Target="https://www.youtube.com/watch?v=DTopAJ7iwMg" TargetMode="External"/><Relationship Id="rId57" Type="http://schemas.openxmlformats.org/officeDocument/2006/relationships/hyperlink" Target="https://www.youtube.com/watch?v=CHRUb43S6RM" TargetMode="External"/><Relationship Id="rId58" Type="http://schemas.openxmlformats.org/officeDocument/2006/relationships/hyperlink" Target="https://raw.githubusercontent.com/yuhonas/free-exercise-db/main/exercises/The_Straddle/0.jpg" TargetMode="External"/><Relationship Id="rId59" Type="http://schemas.openxmlformats.org/officeDocument/2006/relationships/hyperlink" Target="https://www.youtube.com/watch?v=A2b2EmIg0dA" TargetMode="External"/><Relationship Id="rId60" Type="http://schemas.openxmlformats.org/officeDocument/2006/relationships/hyperlink" Target="https://raw.githubusercontent.com/yuhonas/free-exercise-db/main/exercises/Plank/1.jpg" TargetMode="External"/><Relationship Id="rId61" Type="http://schemas.openxmlformats.org/officeDocument/2006/relationships/hyperlink" Target="https://www.youtube.com/watch?v=rmdn5X_KLkY" TargetMode="External"/><Relationship Id="rId62" Type="http://schemas.openxmlformats.org/officeDocument/2006/relationships/hyperlink" Target="https://raw.githubusercontent.com/yuhonas/free-exercise-db/main/exercises/Pullups/1.jpg" TargetMode="External"/><Relationship Id="rId63" Type="http://schemas.openxmlformats.org/officeDocument/2006/relationships/hyperlink" Target="https://www.youtube.com/watch?v=EX_XDq71IGQ" TargetMode="External"/><Relationship Id="rId64" Type="http://schemas.openxmlformats.org/officeDocument/2006/relationships/hyperlink" Target="https://www.youtube.com/watch?v=iZ1eZBY4fwM" TargetMode="External"/><Relationship Id="rId65" Type="http://schemas.openxmlformats.org/officeDocument/2006/relationships/hyperlink" Target="https://raw.githubusercontent.com/yuhonas/free-exercise-db/main/exercises/Kneeling_Hip_Flexor/0.jpg" TargetMode="External"/><Relationship Id="rId66" Type="http://schemas.openxmlformats.org/officeDocument/2006/relationships/hyperlink" Target="https://www.youtube.com/watch?v=z-BH_95_f-w" TargetMode="External"/><Relationship Id="rId67" Type="http://schemas.openxmlformats.org/officeDocument/2006/relationships/hyperlink" Target="https://www.youtube.com/watch?v=gcNh17Ckjgg" TargetMode="External"/><Relationship Id="rId68" Type="http://schemas.openxmlformats.org/officeDocument/2006/relationships/hyperlink" Target="https://raw.githubusercontent.com/yuhonas/free-exercise-db/main/exercises/Barbell_Full_Squat/1.jpg" TargetMode="External"/><Relationship Id="rId69" Type="http://schemas.openxmlformats.org/officeDocument/2006/relationships/hyperlink" Target="https://www.youtube.com/watch?v=hDYp3U8b1nU" TargetMode="External"/><Relationship Id="rId70" Type="http://schemas.openxmlformats.org/officeDocument/2006/relationships/hyperlink" Target="https://www.youtube.com/watch?v=FeUioDuJjFI" TargetMode="External"/><Relationship Id="rId71" Type="http://schemas.openxmlformats.org/officeDocument/2006/relationships/hyperlink" Target="https://www.youtube.com/watch?v=KoS_NMmuxMM" TargetMode="External"/><Relationship Id="rId72" Type="http://schemas.openxmlformats.org/officeDocument/2006/relationships/hyperlink" Target="https://raw.githubusercontent.com/yuhonas/free-exercise-db/main/exercises/Dips_-_Triceps_Version/0.jpg" TargetMode="External"/><Relationship Id="rId73" Type="http://schemas.openxmlformats.org/officeDocument/2006/relationships/hyperlink" Target="https://www.youtube.com/watch?v=mSZWSQSSEjE" TargetMode="External"/><Relationship Id="rId74" Type="http://schemas.openxmlformats.org/officeDocument/2006/relationships/hyperlink" Target="https://www.youtube.com/watch?v=y39PrKY_4JM" TargetMode="External"/><Relationship Id="rId75" Type="http://schemas.openxmlformats.org/officeDocument/2006/relationships/hyperlink" Target="https://raw.githubusercontent.com/yuhonas/free-exercise-db/main/exercises/Cat_Stretch/0.jpg" TargetMode="External"/><Relationship Id="rId76" Type="http://schemas.openxmlformats.org/officeDocument/2006/relationships/hyperlink" Target="https://www.youtube.com/watch?v=eqVMAPM00DM" TargetMode="External"/><Relationship Id="rId77" Type="http://schemas.openxmlformats.org/officeDocument/2006/relationships/hyperlink" Target="https://raw.githubusercontent.com/yuhonas/free-exercise-db/main/exercises/Childs_Pose/0.jpg" TargetMode="External"/><Relationship Id="rId78" Type="http://schemas.openxmlformats.org/officeDocument/2006/relationships/hyperlink" Target="https://www.youtube.com/watch?v=_OQEIiZLY-0" TargetMode="External"/><Relationship Id="rId79" Type="http://schemas.openxmlformats.org/officeDocument/2006/relationships/hyperlink" Target="https://www.youtube.com/watch?v=0_zPqA65Nok" TargetMode="External"/><Relationship Id="rId80" Type="http://schemas.openxmlformats.org/officeDocument/2006/relationships/hyperlink" Target="https://www.youtube.com/watch?v=mKC3IeldPOc" TargetMode="External"/><Relationship Id="rId81" Type="http://schemas.openxmlformats.org/officeDocument/2006/relationships/hyperlink" Target="https://www.youtube.com/watch?v=g7Uhp5tphAs" TargetMode="External"/><Relationship Id="rId82" Type="http://schemas.openxmlformats.org/officeDocument/2006/relationships/hyperlink" Target="https://www.youtube.com/watch?v=HoE-C85ZlCE" TargetMode="External"/><Relationship Id="rId8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youtube.com/results?search_query=Hollow%20body%20hold%20tutorial" TargetMode="External"/><Relationship Id="rId2" Type="http://schemas.openxmlformats.org/officeDocument/2006/relationships/hyperlink" Target="https://www.google.com/search?tbm=isch&amp;q=Hollow%20body%20hold%20exercise%20gif" TargetMode="External"/><Relationship Id="rId3" Type="http://schemas.openxmlformats.org/officeDocument/2006/relationships/hyperlink" Target="https://www.youtube.com/results?search_query=Dead%20hang%20tutorial" TargetMode="External"/><Relationship Id="rId4" Type="http://schemas.openxmlformats.org/officeDocument/2006/relationships/hyperlink" Target="https://www.google.com/search?tbm=isch&amp;q=Dead%20hang%20exercise%20gif" TargetMode="External"/><Relationship Id="rId5" Type="http://schemas.openxmlformats.org/officeDocument/2006/relationships/hyperlink" Target="https://www.youtube.com/results?search_query=Zone%202%20indoor%20cycling%20tutorial" TargetMode="External"/><Relationship Id="rId6" Type="http://schemas.openxmlformats.org/officeDocument/2006/relationships/hyperlink" Target="https://www.google.com/search?tbm=isch&amp;q=Zone%202%20indoor%20cycling%20exercise%20gif" TargetMode="External"/><Relationship Id="rId7" Type="http://schemas.openxmlformats.org/officeDocument/2006/relationships/hyperlink" Target="https://www.youtube.com/results?search_query=Easy%20run%20tutorial" TargetMode="External"/><Relationship Id="rId8" Type="http://schemas.openxmlformats.org/officeDocument/2006/relationships/hyperlink" Target="https://www.google.com/search?tbm=isch&amp;q=Easy%20run%20exercise%20gif" TargetMode="External"/><Relationship Id="rId9" Type="http://schemas.openxmlformats.org/officeDocument/2006/relationships/hyperlink" Target="https://www.youtube.com/results?search_query=Interval%20run%20tutorial" TargetMode="External"/><Relationship Id="rId10" Type="http://schemas.openxmlformats.org/officeDocument/2006/relationships/hyperlink" Target="https://www.google.com/search?tbm=isch&amp;q=Interval%20run%20exercise%20gif" TargetMode="External"/><Relationship Id="rId11" Type="http://schemas.openxmlformats.org/officeDocument/2006/relationships/hyperlink" Target="https://www.youtube.com/results?search_query=Tempo%20run%20tutorial" TargetMode="External"/><Relationship Id="rId12" Type="http://schemas.openxmlformats.org/officeDocument/2006/relationships/hyperlink" Target="https://www.google.com/search?tbm=isch&amp;q=Tempo%20run%20exercise%20gif" TargetMode="External"/><Relationship Id="rId13" Type="http://schemas.openxmlformats.org/officeDocument/2006/relationships/hyperlink" Target="https://www.youtube.com/results?search_query=Walking%20%2F%20hiking%20tutorial" TargetMode="External"/><Relationship Id="rId14" Type="http://schemas.openxmlformats.org/officeDocument/2006/relationships/hyperlink" Target="https://www.google.com/search?tbm=isch&amp;q=Walking%20%2F%20hiking%20exercise%20gif" TargetMode="External"/><Relationship Id="rId15" Type="http://schemas.openxmlformats.org/officeDocument/2006/relationships/hyperlink" Target="https://www.youtube.com/results?search_query=Hamstring%20&#8212;%20passive%20hang%20tutorial" TargetMode="External"/><Relationship Id="rId16" Type="http://schemas.openxmlformats.org/officeDocument/2006/relationships/hyperlink" Target="https://www.google.com/search?tbm=isch&amp;q=Hamstring%20&#8212;%20passive%20hang%20exercise%20gif" TargetMode="External"/><Relationship Id="rId17" Type="http://schemas.openxmlformats.org/officeDocument/2006/relationships/hyperlink" Target="https://www.youtube.com/results?search_query=Hamstring%20&#8212;%20standing%20pike%20tutorial" TargetMode="External"/><Relationship Id="rId18" Type="http://schemas.openxmlformats.org/officeDocument/2006/relationships/hyperlink" Target="https://www.google.com/search?tbm=isch&amp;q=Hamstring%20&#8212;%20standing%20pike%20exercise%20gif" TargetMode="External"/><Relationship Id="rId19" Type="http://schemas.openxmlformats.org/officeDocument/2006/relationships/hyperlink" Target="https://www.youtube.com/results?search_query=Hamstring%20&#8212;%20PNF%20tutorial" TargetMode="External"/><Relationship Id="rId20" Type="http://schemas.openxmlformats.org/officeDocument/2006/relationships/hyperlink" Target="https://www.google.com/search?tbm=isch&amp;q=Hamstring%20&#8212;%20PNF%20exercise%20gif" TargetMode="External"/><Relationship Id="rId21" Type="http://schemas.openxmlformats.org/officeDocument/2006/relationships/hyperlink" Target="https://www.youtube.com/results?search_query=Hip%20flexor%20%2F%20couch%20stretch%20tutorial" TargetMode="External"/><Relationship Id="rId22" Type="http://schemas.openxmlformats.org/officeDocument/2006/relationships/hyperlink" Target="https://www.google.com/search?tbm=isch&amp;q=Hip%20flexor%20%2F%20couch%20stretch%20exercise%20gif" TargetMode="External"/><Relationship Id="rId23" Type="http://schemas.openxmlformats.org/officeDocument/2006/relationships/hyperlink" Target="https://www.youtube.com/results?search_query=90%2F90%20hip%20stretch%20tutorial" TargetMode="External"/><Relationship Id="rId24" Type="http://schemas.openxmlformats.org/officeDocument/2006/relationships/hyperlink" Target="https://www.google.com/search?tbm=isch&amp;q=90%2F90%20hip%20stretch%20exercise%20gif" TargetMode="External"/><Relationship Id="rId25" Type="http://schemas.openxmlformats.org/officeDocument/2006/relationships/hyperlink" Target="https://www.youtube.com/results?search_query=Runner&apos;s%20lunge%20stretch%20tutorial" TargetMode="External"/><Relationship Id="rId26" Type="http://schemas.openxmlformats.org/officeDocument/2006/relationships/hyperlink" Target="https://www.google.com/search?tbm=isch&amp;q=Runner&apos;s%20lunge%20stretch%20exercise%20gif" TargetMode="External"/><Relationship Id="rId27" Type="http://schemas.openxmlformats.org/officeDocument/2006/relationships/hyperlink" Target="https://www.youtube.com/results?search_query=Half%20split%20stretch%20tutorial" TargetMode="External"/><Relationship Id="rId28" Type="http://schemas.openxmlformats.org/officeDocument/2006/relationships/hyperlink" Target="https://www.google.com/search?tbm=isch&amp;q=Half%20split%20stretch%20exercise%20gif" TargetMode="External"/><Relationship Id="rId29" Type="http://schemas.openxmlformats.org/officeDocument/2006/relationships/hyperlink" Target="https://www.youtube.com/results?search_query=Foam%20rolling%20&#8212;%20general%20tutorial" TargetMode="External"/><Relationship Id="rId30" Type="http://schemas.openxmlformats.org/officeDocument/2006/relationships/hyperlink" Target="https://www.google.com/search?tbm=isch&amp;q=Foam%20rolling%20&#8212;%20general%20exercise%20gif" TargetMode="External"/><Relationship Id="rId31" Type="http://schemas.openxmlformats.org/officeDocument/2006/relationships/hyperlink" Target="https://www.youtube.com/results?search_query=Pancake%20%2F%20straddle%20floor%20tutorial" TargetMode="External"/><Relationship Id="rId32" Type="http://schemas.openxmlformats.org/officeDocument/2006/relationships/hyperlink" Target="https://www.google.com/search?tbm=isch&amp;q=Pancake%20%2F%20straddle%20floor%20exercise%20gif" TargetMode="External"/><Relationship Id="rId33" Type="http://schemas.openxmlformats.org/officeDocument/2006/relationships/hyperlink" Target="https://www.youtube.com/results?search_query=Middle%20splits%20progression%20tutorial" TargetMode="External"/><Relationship Id="rId34" Type="http://schemas.openxmlformats.org/officeDocument/2006/relationships/hyperlink" Target="https://www.google.com/search?tbm=isch&amp;q=Middle%20splits%20progression%20exercise%20gif" TargetMode="External"/><Relationship Id="rId35" Type="http://schemas.openxmlformats.org/officeDocument/2006/relationships/hyperlink" Target="https://www.youtube.com/results?search_query=Hip%20thrust%20%2F%20glute%20bridge%20tutorial" TargetMode="External"/><Relationship Id="rId36" Type="http://schemas.openxmlformats.org/officeDocument/2006/relationships/hyperlink" Target="https://www.google.com/search?tbm=isch&amp;q=Hip%20thrust%20%2F%20glute%20bridge%20exercise%20gif" TargetMode="External"/><Relationship Id="rId37" Type="http://schemas.openxmlformats.org/officeDocument/2006/relationships/hyperlink" Target="https://www.youtube.com/results?search_query=Face%20pulls%20tutorial" TargetMode="External"/><Relationship Id="rId38" Type="http://schemas.openxmlformats.org/officeDocument/2006/relationships/hyperlink" Target="https://www.google.com/search?tbm=isch&amp;q=Face%20pulls%20exercise%20gif" TargetMode="External"/><Relationship Id="rId39" Type="http://schemas.openxmlformats.org/officeDocument/2006/relationships/hyperlink" Target="https://www.youtube.com/results?search_query=Band%20pull-aparts%20tutorial" TargetMode="External"/><Relationship Id="rId40" Type="http://schemas.openxmlformats.org/officeDocument/2006/relationships/hyperlink" Target="https://www.google.com/search?tbm=isch&amp;q=Band%20pull-aparts%20exercise%20gif" TargetMode="External"/><Relationship Id="rId41" Type="http://schemas.openxmlformats.org/officeDocument/2006/relationships/hyperlink" Target="https://www.youtube.com/results?search_query=External%20rotation%20&#8212;%20bands%20tutorial" TargetMode="External"/><Relationship Id="rId42" Type="http://schemas.openxmlformats.org/officeDocument/2006/relationships/hyperlink" Target="https://www.google.com/search?tbm=isch&amp;q=External%20rotation%20&#8212;%20bands%20exercise%20gif" TargetMode="External"/><Relationship Id="rId43" Type="http://schemas.openxmlformats.org/officeDocument/2006/relationships/hyperlink" Target="https://www.youtube.com/results?search_query=Neck%20flexion%20%2F%20extension%20%2F%20lateral%20tutorial" TargetMode="External"/><Relationship Id="rId44" Type="http://schemas.openxmlformats.org/officeDocument/2006/relationships/hyperlink" Target="https://www.google.com/search?tbm=isch&amp;q=Neck%20flexion%20%2F%20extension%20%2F%20lateral%20exercise%20gif" TargetMode="External"/><Relationship Id="rId45" Type="http://schemas.openxmlformats.org/officeDocument/2006/relationships/hyperlink" Target="https://www.youtube.com/results?search_query=Box%20jump%20tutorial" TargetMode="External"/><Relationship Id="rId46" Type="http://schemas.openxmlformats.org/officeDocument/2006/relationships/hyperlink" Target="https://www.google.com/search?tbm=isch&amp;q=Box%20jump%20exercise%20gif" TargetMode="External"/><Relationship Id="rId47" Type="http://schemas.openxmlformats.org/officeDocument/2006/relationships/hyperlink" Target="https://www.youtube.com/results?search_query=Farmer&apos;s%20walk%20tutorial" TargetMode="External"/><Relationship Id="rId48" Type="http://schemas.openxmlformats.org/officeDocument/2006/relationships/hyperlink" Target="https://www.google.com/search?tbm=isch&amp;q=Farmer&apos;s%20walk%20exercise%20gif" TargetMode="External"/><Relationship Id="rId49" Type="http://schemas.openxmlformats.org/officeDocument/2006/relationships/hyperlink" Target="https://www.youtube.com/results?search_query=Wrist%20circles%20%2B%20finger%20extensions%20tutorial" TargetMode="External"/><Relationship Id="rId50" Type="http://schemas.openxmlformats.org/officeDocument/2006/relationships/hyperlink" Target="https://www.google.com/search?tbm=isch&amp;q=Wrist%20circles%20%2B%20finger%20extensions%20exercise%20gif" TargetMode="External"/><Relationship Id="rId51" Type="http://schemas.openxmlformats.org/officeDocument/2006/relationships/hyperlink" Target="https://www.youtube.com/results?search_query=Rice%20bucket%20wrist%20conditioning%20tutorial" TargetMode="External"/><Relationship Id="rId52" Type="http://schemas.openxmlformats.org/officeDocument/2006/relationships/hyperlink" Target="https://www.google.com/search?tbm=isch&amp;q=Rice%20bucket%20wrist%20conditioning%20exercise%20gif" TargetMode="External"/><Relationship Id="rId53" Type="http://schemas.openxmlformats.org/officeDocument/2006/relationships/hyperlink" Target="https://www.youtube.com/results?search_query=First%20knuckle%20raises%20tutorial" TargetMode="External"/><Relationship Id="rId54" Type="http://schemas.openxmlformats.org/officeDocument/2006/relationships/hyperlink" Target="https://www.google.com/search?tbm=isch&amp;q=First%20knuckle%20raises%20exercise%20gif" TargetMode="External"/><Relationship Id="rId55" Type="http://schemas.openxmlformats.org/officeDocument/2006/relationships/hyperlink" Target="https://www.youtube.com/results?search_query=Fin%20push-ups%20tutorial" TargetMode="External"/><Relationship Id="rId56" Type="http://schemas.openxmlformats.org/officeDocument/2006/relationships/hyperlink" Target="https://www.google.com/search?tbm=isch&amp;q=Fin%20push-ups%20exercise%20gif" TargetMode="External"/><Relationship Id="rId57" Type="http://schemas.openxmlformats.org/officeDocument/2006/relationships/hyperlink" Target="https://www.youtube.com/results?search_query=Dorsal%20push-ups%20tutorial" TargetMode="External"/><Relationship Id="rId58" Type="http://schemas.openxmlformats.org/officeDocument/2006/relationships/hyperlink" Target="https://www.google.com/search?tbm=isch&amp;q=Dorsal%20push-ups%20exercise%20gif" TargetMode="External"/><Relationship Id="rId59" Type="http://schemas.openxmlformats.org/officeDocument/2006/relationships/hyperlink" Target="https://www.youtube.com/results?search_query=Squat%20tutorial" TargetMode="External"/><Relationship Id="rId60" Type="http://schemas.openxmlformats.org/officeDocument/2006/relationships/hyperlink" Target="https://www.google.com/search?tbm=isch&amp;q=Squat%20exercise%20gif" TargetMode="External"/><Relationship Id="rId61" Type="http://schemas.openxmlformats.org/officeDocument/2006/relationships/hyperlink" Target="https://www.youtube.com/results?search_query=Incline%20bench%20press%20tutorial" TargetMode="External"/><Relationship Id="rId62" Type="http://schemas.openxmlformats.org/officeDocument/2006/relationships/hyperlink" Target="https://www.google.com/search?tbm=isch&amp;q=Incline%20bench%20press%20exercise%20gif" TargetMode="External"/><Relationship Id="rId63" Type="http://schemas.openxmlformats.org/officeDocument/2006/relationships/hyperlink" Target="https://www.youtube.com/results?search_query=Pull-up%20tutorial" TargetMode="External"/><Relationship Id="rId64" Type="http://schemas.openxmlformats.org/officeDocument/2006/relationships/hyperlink" Target="https://www.google.com/search?tbm=isch&amp;q=Pull-up%20exercise%20gif" TargetMode="External"/><Relationship Id="rId65" Type="http://schemas.openxmlformats.org/officeDocument/2006/relationships/hyperlink" Target="https://www.youtube.com/results?search_query=Lateral%20raise%20tutorial" TargetMode="External"/><Relationship Id="rId66" Type="http://schemas.openxmlformats.org/officeDocument/2006/relationships/hyperlink" Target="https://www.google.com/search?tbm=isch&amp;q=Lateral%20raise%20exercise%20gif" TargetMode="External"/><Relationship Id="rId67" Type="http://schemas.openxmlformats.org/officeDocument/2006/relationships/hyperlink" Target="https://www.youtube.com/results?search_query=Toes%20to%20bar%20tutorial" TargetMode="External"/><Relationship Id="rId68" Type="http://schemas.openxmlformats.org/officeDocument/2006/relationships/hyperlink" Target="https://www.google.com/search?tbm=isch&amp;q=Toes%20to%20bar%20exercise%20gif" TargetMode="External"/><Relationship Id="rId69" Type="http://schemas.openxmlformats.org/officeDocument/2006/relationships/hyperlink" Target="https://www.youtube.com/results?search_query=Deadlift%20tutorial" TargetMode="External"/><Relationship Id="rId70" Type="http://schemas.openxmlformats.org/officeDocument/2006/relationships/hyperlink" Target="https://www.google.com/search?tbm=isch&amp;q=Deadlift%20exercise%20gif" TargetMode="External"/><Relationship Id="rId71" Type="http://schemas.openxmlformats.org/officeDocument/2006/relationships/hyperlink" Target="https://www.youtube.com/results?search_query=Overhead%20press%20tutorial" TargetMode="External"/><Relationship Id="rId72" Type="http://schemas.openxmlformats.org/officeDocument/2006/relationships/hyperlink" Target="https://www.google.com/search?tbm=isch&amp;q=Overhead%20press%20exercise%20gif" TargetMode="External"/><Relationship Id="rId73" Type="http://schemas.openxmlformats.org/officeDocument/2006/relationships/hyperlink" Target="https://www.youtube.com/results?search_query=Seated%20cable%20row%20tutorial" TargetMode="External"/><Relationship Id="rId74" Type="http://schemas.openxmlformats.org/officeDocument/2006/relationships/hyperlink" Target="https://www.google.com/search?tbm=isch&amp;q=Seated%20cable%20row%20exercise%20gif" TargetMode="External"/><Relationship Id="rId75" Type="http://schemas.openxmlformats.org/officeDocument/2006/relationships/hyperlink" Target="https://www.youtube.com/results?search_query=Triceps%20dip%20tutorial" TargetMode="External"/><Relationship Id="rId76" Type="http://schemas.openxmlformats.org/officeDocument/2006/relationships/hyperlink" Target="https://www.google.com/search?tbm=isch&amp;q=Triceps%20dip%20exercise%20gif" TargetMode="External"/><Relationship Id="rId77" Type="http://schemas.openxmlformats.org/officeDocument/2006/relationships/hyperlink" Target="https://www.youtube.com/results?search_query=Plank%20tutorial" TargetMode="External"/><Relationship Id="rId78" Type="http://schemas.openxmlformats.org/officeDocument/2006/relationships/hyperlink" Target="https://www.google.com/search?tbm=isch&amp;q=Plank%20exercise%20gif" TargetMode="External"/><Relationship Id="rId79" Type="http://schemas.openxmlformats.org/officeDocument/2006/relationships/hyperlink" Target="https://www.youtube.com/results?search_query=Body%20scan%20tutorial" TargetMode="External"/><Relationship Id="rId80" Type="http://schemas.openxmlformats.org/officeDocument/2006/relationships/hyperlink" Target="https://www.google.com/search?tbm=isch&amp;q=Body%20scan%20exercise%20gif" TargetMode="External"/><Relationship Id="rId81" Type="http://schemas.openxmlformats.org/officeDocument/2006/relationships/hyperlink" Target="https://www.youtube.com/results?search_query=4-7-8%20breathing%20tutorial" TargetMode="External"/><Relationship Id="rId82" Type="http://schemas.openxmlformats.org/officeDocument/2006/relationships/hyperlink" Target="https://www.google.com/search?tbm=isch&amp;q=4-7-8%20breathing%20exercise%20gif" TargetMode="External"/><Relationship Id="rId83" Type="http://schemas.openxmlformats.org/officeDocument/2006/relationships/hyperlink" Target="https://www.youtube.com/results?search_query=Juggling%20&#8212;%203%20ball%20cascade%20tutorial" TargetMode="External"/><Relationship Id="rId84" Type="http://schemas.openxmlformats.org/officeDocument/2006/relationships/hyperlink" Target="https://www.google.com/search?tbm=isch&amp;q=Juggling%20&#8212;%203%20ball%20cascade%20exercise%20gif" TargetMode="External"/><Relationship Id="rId85" Type="http://schemas.openxmlformats.org/officeDocument/2006/relationships/hyperlink" Target="https://www.youtube.com/results?search_query=Juggling%20&#8212;%20variations%20%2F%20tricks%20tutorial" TargetMode="External"/><Relationship Id="rId86" Type="http://schemas.openxmlformats.org/officeDocument/2006/relationships/hyperlink" Target="https://www.google.com/search?tbm=isch&amp;q=Juggling%20&#8212;%20variations%20%2F%20tricks%20exercise%20gif" TargetMode="External"/><Relationship Id="rId87" Type="http://schemas.openxmlformats.org/officeDocument/2006/relationships/hyperlink" Target="https://www.youtube.com/results?search_query=Juggling%20&#8212;%20columns%20tutorial" TargetMode="External"/><Relationship Id="rId88" Type="http://schemas.openxmlformats.org/officeDocument/2006/relationships/hyperlink" Target="https://www.google.com/search?tbm=isch&amp;q=Juggling%20&#8212;%20columns%20exercise%20gif" TargetMode="External"/><Relationship Id="rId89" Type="http://schemas.openxmlformats.org/officeDocument/2006/relationships/hyperlink" Target="https://www.youtube.com/results?search_query=Juggling%20&#8212;%20reverse%20cascade%20tutorial" TargetMode="External"/><Relationship Id="rId90" Type="http://schemas.openxmlformats.org/officeDocument/2006/relationships/hyperlink" Target="https://www.google.com/search?tbm=isch&amp;q=Juggling%20&#8212;%20reverse%20cascade%20exercise%20gif" TargetMode="External"/><Relationship Id="rId91" Type="http://schemas.openxmlformats.org/officeDocument/2006/relationships/hyperlink" Target="https://www.youtube.com/results?search_query=Juggling%20&#8212;%20half%20shower%20tutorial" TargetMode="External"/><Relationship Id="rId92" Type="http://schemas.openxmlformats.org/officeDocument/2006/relationships/hyperlink" Target="https://www.google.com/search?tbm=isch&amp;q=Juggling%20&#8212;%20half%20shower%20exercise%20gif" TargetMode="External"/><Relationship Id="rId93" Type="http://schemas.openxmlformats.org/officeDocument/2006/relationships/hyperlink" Target="https://www.youtube.com/results?search_query=Saccadic%20jumps%20-%20two%20targets%20tutorial" TargetMode="External"/><Relationship Id="rId94" Type="http://schemas.openxmlformats.org/officeDocument/2006/relationships/hyperlink" Target="https://www.google.com/search?tbm=isch&amp;q=Saccadic%20jumps%20-%20two%20targets%20exercise%20gif" TargetMode="External"/><Relationship Id="rId95" Type="http://schemas.openxmlformats.org/officeDocument/2006/relationships/hyperlink" Target="https://www.youtube.com/results?search_query=Ping%20pong%20ball%20vs%20wall%20&#8212;%20eye%20patched%20tutorial" TargetMode="External"/><Relationship Id="rId96" Type="http://schemas.openxmlformats.org/officeDocument/2006/relationships/hyperlink" Target="https://www.google.com/search?tbm=isch&amp;q=Ping%20pong%20ball%20vs%20wall%20&#8212;%20eye%20patched%20exercise%20gif" TargetMode="External"/><Relationship Id="rId97" Type="http://schemas.openxmlformats.org/officeDocument/2006/relationships/hyperlink" Target="https://www.youtube.com/results?search_query=Broad%20jump%20tutorial" TargetMode="External"/><Relationship Id="rId98" Type="http://schemas.openxmlformats.org/officeDocument/2006/relationships/hyperlink" Target="https://www.google.com/search?tbm=isch&amp;q=Broad%20jump%20exercise%20gif" TargetMode="External"/><Relationship Id="rId99" Type="http://schemas.openxmlformats.org/officeDocument/2006/relationships/hyperlink" Target="https://www.youtube.com/results?search_query=Uphill%20sprint%20repeats%20tutorial" TargetMode="External"/><Relationship Id="rId100" Type="http://schemas.openxmlformats.org/officeDocument/2006/relationships/hyperlink" Target="https://www.google.com/search?tbm=isch&amp;q=Uphill%20sprint%20repeats%20exercise%20gif" TargetMode="External"/><Relationship Id="rId101" Type="http://schemas.openxmlformats.org/officeDocument/2006/relationships/hyperlink" Target="https://www.youtube.com/results?search_query=Medicine%20ball%20slams%20tutorial" TargetMode="External"/><Relationship Id="rId102" Type="http://schemas.openxmlformats.org/officeDocument/2006/relationships/hyperlink" Target="https://www.google.com/search?tbm=isch&amp;q=Medicine%20ball%20slams%20exercise%20gif" TargetMode="External"/><Relationship Id="rId103" Type="http://schemas.openxmlformats.org/officeDocument/2006/relationships/hyperlink" Target="https://www.youtube.com/results?search_query=Ring%20hold%20&#8212;%20support%20tutorial" TargetMode="External"/><Relationship Id="rId104" Type="http://schemas.openxmlformats.org/officeDocument/2006/relationships/hyperlink" Target="https://www.google.com/search?tbm=isch&amp;q=Ring%20hold%20&#8212;%20support%20exercise%20gif" TargetMode="External"/><Relationship Id="rId105" Type="http://schemas.openxmlformats.org/officeDocument/2006/relationships/hyperlink" Target="https://www.youtube.com/results?search_query=Ring%20hold%20&#8212;%20German%20hang%20tutorial" TargetMode="External"/><Relationship Id="rId106" Type="http://schemas.openxmlformats.org/officeDocument/2006/relationships/hyperlink" Target="https://www.google.com/search?tbm=isch&amp;q=Ring%20hold%20&#8212;%20German%20hang%20exercise%20gif" TargetMode="External"/><Relationship Id="rId107" Type="http://schemas.openxmlformats.org/officeDocument/2006/relationships/hyperlink" Target="https://www.youtube.com/results?search_query=Ring%20dip%20tutorial" TargetMode="External"/><Relationship Id="rId108" Type="http://schemas.openxmlformats.org/officeDocument/2006/relationships/hyperlink" Target="https://www.google.com/search?tbm=isch&amp;q=Ring%20dip%20exercise%20gif" TargetMode="External"/><Relationship Id="rId109" Type="http://schemas.openxmlformats.org/officeDocument/2006/relationships/hyperlink" Target="https://www.youtube.com/results?search_query=Eye%20CARs%20tutorial" TargetMode="External"/><Relationship Id="rId110" Type="http://schemas.openxmlformats.org/officeDocument/2006/relationships/hyperlink" Target="https://www.google.com/search?tbm=isch&amp;q=Eye%20CARs%20exercise%20gif" TargetMode="External"/><Relationship Id="rId111" Type="http://schemas.openxmlformats.org/officeDocument/2006/relationships/hyperlink" Target="https://www.youtube.com/results?search_query=Near%20%2F%20far%20focus%20shifts%20tutorial" TargetMode="External"/><Relationship Id="rId112" Type="http://schemas.openxmlformats.org/officeDocument/2006/relationships/hyperlink" Target="https://www.google.com/search?tbm=isch&amp;q=Near%20%2F%20far%20focus%20shifts%20exercise%20gif" TargetMode="External"/><Relationship Id="rId113" Type="http://schemas.openxmlformats.org/officeDocument/2006/relationships/hyperlink" Target="https://www.youtube.com/results?search_query=Peripheral%20tracking%20tutorial" TargetMode="External"/><Relationship Id="rId114" Type="http://schemas.openxmlformats.org/officeDocument/2006/relationships/hyperlink" Target="https://www.google.com/search?tbm=isch&amp;q=Peripheral%20tracking%20exercise%20gif" TargetMode="External"/><Relationship Id="rId115" Type="http://schemas.openxmlformats.org/officeDocument/2006/relationships/hyperlink" Target="https://www.youtube.com/results?search_query=TRE-style%20tremoring%20tutorial" TargetMode="External"/><Relationship Id="rId116" Type="http://schemas.openxmlformats.org/officeDocument/2006/relationships/hyperlink" Target="https://www.google.com/search?tbm=isch&amp;q=TRE-style%20tremoring%20exercise%20gif" TargetMode="External"/><Relationship Id="rId117" Type="http://schemas.openxmlformats.org/officeDocument/2006/relationships/hyperlink" Target="https://www.youtube.com/results?search_query=Child&apos;s%20pose%20tutorial" TargetMode="External"/><Relationship Id="rId118" Type="http://schemas.openxmlformats.org/officeDocument/2006/relationships/hyperlink" Target="https://www.google.com/search?tbm=isch&amp;q=Child&apos;s%20pose%20exercise%20gif" TargetMode="External"/><Relationship Id="rId119" Type="http://schemas.openxmlformats.org/officeDocument/2006/relationships/hyperlink" Target="https://www.youtube.com/results?search_query=Cat-cow%20tutorial" TargetMode="External"/><Relationship Id="rId120" Type="http://schemas.openxmlformats.org/officeDocument/2006/relationships/hyperlink" Target="https://www.google.com/search?tbm=isch&amp;q=Cat-cow%20exercise%20gif" TargetMode="External"/><Relationship Id="rId121" Type="http://schemas.openxmlformats.org/officeDocument/2006/relationships/hyperlink" Target="https://www.youtube.com/results?search_query=Reclined%20spinal%20twist%20tutorial" TargetMode="External"/><Relationship Id="rId122" Type="http://schemas.openxmlformats.org/officeDocument/2006/relationships/hyperlink" Target="https://www.google.com/search?tbm=isch&amp;q=Reclined%20spinal%20twist%20exercise%20gif" TargetMode="External"/><Relationship Id="rId123" Type="http://schemas.openxmlformats.org/officeDocument/2006/relationships/hyperlink" Target="https://www.youtube.com/results?search_query=Pigeon%20pose%20tutorial" TargetMode="External"/><Relationship Id="rId124" Type="http://schemas.openxmlformats.org/officeDocument/2006/relationships/hyperlink" Target="https://www.google.com/search?tbm=isch&amp;q=Pigeon%20pose%20exercise%20gif" TargetMode="External"/><Relationship Id="rId125" Type="http://schemas.openxmlformats.org/officeDocument/2006/relationships/hyperlink" Target="https://www.youtube.com/results?search_query=Seated%20forward%20fold%20tutorial" TargetMode="External"/><Relationship Id="rId126" Type="http://schemas.openxmlformats.org/officeDocument/2006/relationships/hyperlink" Target="https://www.google.com/search?tbm=isch&amp;q=Seated%20forward%20fold%20exercise%20gif" TargetMode="External"/><Relationship Id="rId127" Type="http://schemas.openxmlformats.org/officeDocument/2006/relationships/hyperlink" Target="https://www.youtube.com/results?search_query=Legs-up-the-wall%20tutorial" TargetMode="External"/><Relationship Id="rId128" Type="http://schemas.openxmlformats.org/officeDocument/2006/relationships/hyperlink" Target="https://www.google.com/search?tbm=isch&amp;q=Legs-up-the-wall%20exercise%20gif" TargetMode="External"/><Relationship Id="rId129" Type="http://schemas.openxmlformats.org/officeDocument/2006/relationships/hyperlink" Target="https://www.youtube.com/watch?v=HoE-C85ZlCE" TargetMode="External"/><Relationship Id="rId130" Type="http://schemas.openxmlformats.org/officeDocument/2006/relationships/hyperlink" Target="https://www.google.com/search?tbm=isch&amp;q=Active%20hang%20exercise%20gif" TargetMode="External"/><Relationship Id="rId131" Type="http://schemas.openxmlformats.org/officeDocument/2006/relationships/hyperlink" Target="https://www.youtube.com/results?search_query=Glute%20bridge%20(bodyweight)%20tutorial" TargetMode="External"/><Relationship Id="rId132" Type="http://schemas.openxmlformats.org/officeDocument/2006/relationships/hyperlink" Target="https://www.google.com/search?tbm=isch&amp;q=Glute%20bridge%20(bodyweight)%20exercise%20gif" TargetMode="External"/><Relationship Id="rId133" Type="http://schemas.openxmlformats.org/officeDocument/2006/relationships/hyperlink" Target="https://www.youtube.com/results?search_query=Banded%20lateral%20walk%20tutorial" TargetMode="External"/><Relationship Id="rId134" Type="http://schemas.openxmlformats.org/officeDocument/2006/relationships/hyperlink" Target="https://www.google.com/search?tbm=isch&amp;q=Banded%20lateral%20walk%20exercise%20gif" TargetMode="External"/><Relationship Id="rId135" Type="http://schemas.openxmlformats.org/officeDocument/2006/relationships/hyperlink" Target="https://www.youtube.com/results?search_query=Dead%20bug%20tutorial" TargetMode="External"/><Relationship Id="rId136" Type="http://schemas.openxmlformats.org/officeDocument/2006/relationships/hyperlink" Target="https://www.google.com/search?tbm=isch&amp;q=Dead%20bug%20exercise%20gif" TargetMode="External"/><Relationship Id="rId137" Type="http://schemas.openxmlformats.org/officeDocument/2006/relationships/hyperlink" Target="https://www.youtube.com/results?search_query=Bird%20dog%20tutorial" TargetMode="External"/><Relationship Id="rId138" Type="http://schemas.openxmlformats.org/officeDocument/2006/relationships/hyperlink" Target="https://www.google.com/search?tbm=isch&amp;q=Bird%20dog%20exercise%20gif" TargetMode="External"/><Relationship Id="rId139" Type="http://schemas.openxmlformats.org/officeDocument/2006/relationships/hyperlink" Target="https://www.youtube.com/results?search_query=Scapular%20push-ups%20tutorial" TargetMode="External"/><Relationship Id="rId140" Type="http://schemas.openxmlformats.org/officeDocument/2006/relationships/hyperlink" Target="https://www.google.com/search?tbm=isch&amp;q=Scapular%20push-ups%20exercise%20gif" TargetMode="External"/><Relationship Id="rId141" Type="http://schemas.openxmlformats.org/officeDocument/2006/relationships/hyperlink" Target="https://www.youtube.com/results?search_query=Tibialis%20raise%20tutorial" TargetMode="External"/><Relationship Id="rId142" Type="http://schemas.openxmlformats.org/officeDocument/2006/relationships/hyperlink" Target="https://www.google.com/search?tbm=isch&amp;q=Tibialis%20raise%20exercise%20gif" TargetMode="External"/><Relationship Id="rId143" Type="http://schemas.openxmlformats.org/officeDocument/2006/relationships/hyperlink" Target="https://www.youtube.com/results?search_query=Calf%20raise%20&#8212;%20isometric%20hold%20tutorial" TargetMode="External"/><Relationship Id="rId144" Type="http://schemas.openxmlformats.org/officeDocument/2006/relationships/hyperlink" Target="https://www.google.com/search?tbm=isch&amp;q=Calf%20raise%20&#8212;%20isometric%20hold%20exercise%20gif" TargetMode="External"/><Relationship Id="rId145" Type="http://schemas.openxmlformats.org/officeDocument/2006/relationships/hyperlink" Target="https://www.youtube.com/results?search_query=Glute%20bridge%20(bodyweight)%20tutorial" TargetMode="External"/><Relationship Id="rId146" Type="http://schemas.openxmlformats.org/officeDocument/2006/relationships/hyperlink" Target="https://www.google.com/search?tbm=isch&amp;q=Glute%20bridge%20(bodyweight)%20exercise%20gif" TargetMode="External"/><Relationship Id="rId147" Type="http://schemas.openxmlformats.org/officeDocument/2006/relationships/hyperlink" Target="https://www.youtube.com/results?search_query=Banded%20lateral%20walk%20tutorial" TargetMode="External"/><Relationship Id="rId148" Type="http://schemas.openxmlformats.org/officeDocument/2006/relationships/hyperlink" Target="https://www.google.com/search?tbm=isch&amp;q=Banded%20lateral%20walk%20exercise%20gif" TargetMode="External"/><Relationship Id="rId149" Type="http://schemas.openxmlformats.org/officeDocument/2006/relationships/hyperlink" Target="https://www.youtube.com/results?search_query=Dead%20bug%20tutorial" TargetMode="External"/><Relationship Id="rId150" Type="http://schemas.openxmlformats.org/officeDocument/2006/relationships/hyperlink" Target="https://www.google.com/search?tbm=isch&amp;q=Dead%20bug%20exercise%20gif" TargetMode="External"/><Relationship Id="rId151" Type="http://schemas.openxmlformats.org/officeDocument/2006/relationships/hyperlink" Target="https://www.youtube.com/results?search_query=Bird%20dog%20tutorial" TargetMode="External"/><Relationship Id="rId152" Type="http://schemas.openxmlformats.org/officeDocument/2006/relationships/hyperlink" Target="https://www.google.com/search?tbm=isch&amp;q=Bird%20dog%20exercise%20gif" TargetMode="External"/><Relationship Id="rId153" Type="http://schemas.openxmlformats.org/officeDocument/2006/relationships/hyperlink" Target="https://www.youtube.com/results?search_query=Copenhagen%20plank%20tutorial" TargetMode="External"/><Relationship Id="rId154" Type="http://schemas.openxmlformats.org/officeDocument/2006/relationships/hyperlink" Target="https://www.google.com/search?tbm=isch&amp;q=Copenhagen%20plank%20exercise%20gif" TargetMode="External"/><Relationship Id="rId155" Type="http://schemas.openxmlformats.org/officeDocument/2006/relationships/hyperlink" Target="https://www.youtube.com/results?search_query=Scapular%20push-ups%20tutorial" TargetMode="External"/><Relationship Id="rId156" Type="http://schemas.openxmlformats.org/officeDocument/2006/relationships/hyperlink" Target="https://www.google.com/search?tbm=isch&amp;q=Scapular%20push-ups%20exercise%20gif" TargetMode="External"/><Relationship Id="rId157" Type="http://schemas.openxmlformats.org/officeDocument/2006/relationships/hyperlink" Target="https://www.youtube.com/results?search_query=Tibialis%20raise%20tutorial" TargetMode="External"/><Relationship Id="rId158" Type="http://schemas.openxmlformats.org/officeDocument/2006/relationships/hyperlink" Target="https://www.google.com/search?tbm=isch&amp;q=Tibialis%20raise%20exercise%20gif" TargetMode="External"/><Relationship Id="rId159" Type="http://schemas.openxmlformats.org/officeDocument/2006/relationships/hyperlink" Target="https://www.youtube.com/results?search_query=Calf%20raise%20&#8212;%20isometric%20hold%20tutorial" TargetMode="External"/><Relationship Id="rId160" Type="http://schemas.openxmlformats.org/officeDocument/2006/relationships/hyperlink" Target="https://www.google.com/search?tbm=isch&amp;q=Calf%20raise%20&#8212;%20isometric%20hold%20exercise%20gif" TargetMode="External"/><Relationship Id="rId161" Type="http://schemas.openxmlformats.org/officeDocument/2006/relationships/hyperlink" Target="https://www.youtube.com/results?search_query=Animal%20&#8212;%20bear%20crawl%20tutorial" TargetMode="External"/><Relationship Id="rId162" Type="http://schemas.openxmlformats.org/officeDocument/2006/relationships/hyperlink" Target="https://www.google.com/search?tbm=isch&amp;q=Animal%20&#8212;%20bear%20crawl%20exercise%20gif" TargetMode="External"/><Relationship Id="rId163" Type="http://schemas.openxmlformats.org/officeDocument/2006/relationships/hyperlink" Target="https://www.youtube.com/results?search_query=Animal%20&#8212;%20crab%20walk%20tutorial" TargetMode="External"/><Relationship Id="rId164" Type="http://schemas.openxmlformats.org/officeDocument/2006/relationships/hyperlink" Target="https://www.google.com/search?tbm=isch&amp;q=Animal%20&#8212;%20crab%20walk%20exercise%20gif" TargetMode="External"/><Relationship Id="rId165" Type="http://schemas.openxmlformats.org/officeDocument/2006/relationships/hyperlink" Target="https://www.youtube.com/results?search_query=Animal%20&#8212;%20inchworm%20tutorial" TargetMode="External"/><Relationship Id="rId166" Type="http://schemas.openxmlformats.org/officeDocument/2006/relationships/hyperlink" Target="https://www.google.com/search?tbm=isch&amp;q=Animal%20&#8212;%20inchworm%20exercise%20gif" TargetMode="External"/><Relationship Id="rId167" Type="http://schemas.openxmlformats.org/officeDocument/2006/relationships/hyperlink" Target="https://www.youtube.com/results?search_query=Hip%20CARs%20tutorial" TargetMode="External"/><Relationship Id="rId168" Type="http://schemas.openxmlformats.org/officeDocument/2006/relationships/hyperlink" Target="https://www.google.com/search?tbm=isch&amp;q=Hip%20CARs%20exercise%20gif" TargetMode="External"/><Relationship Id="rId169" Type="http://schemas.openxmlformats.org/officeDocument/2006/relationships/hyperlink" Target="https://www.youtube.com/results?search_query=Wrist%20CARs%20tutorial" TargetMode="External"/><Relationship Id="rId170" Type="http://schemas.openxmlformats.org/officeDocument/2006/relationships/hyperlink" Target="https://www.google.com/search?tbm=isch&amp;q=Wrist%20CARs%20exercise%20gif" TargetMode="External"/><Relationship Id="rId171" Type="http://schemas.openxmlformats.org/officeDocument/2006/relationships/hyperlink" Target="https://www.youtube.com/results?search_query=Ankle%20CARs%20tutorial" TargetMode="External"/><Relationship Id="rId172" Type="http://schemas.openxmlformats.org/officeDocument/2006/relationships/hyperlink" Target="https://www.google.com/search?tbm=isch&amp;q=Ankle%20CARs%20exercise%20gif" TargetMode="External"/><Relationship Id="rId173" Type="http://schemas.openxmlformats.org/officeDocument/2006/relationships/hyperlink" Target="https://www.youtube.com/results?search_query=Spine%20CARs%20tutorial" TargetMode="External"/><Relationship Id="rId174" Type="http://schemas.openxmlformats.org/officeDocument/2006/relationships/hyperlink" Target="https://www.google.com/search?tbm=isch&amp;q=Spine%20CARs%20exercise%20gif" TargetMode="External"/><Relationship Id="rId175" Type="http://schemas.openxmlformats.org/officeDocument/2006/relationships/hyperlink" Target="https://www.youtube.com/results?search_query=Freestyle%20%2F%20improvisation%20tutorial" TargetMode="External"/><Relationship Id="rId176" Type="http://schemas.openxmlformats.org/officeDocument/2006/relationships/hyperlink" Target="https://www.google.com/search?tbm=isch&amp;q=Freestyle%20%2F%20improvisation%20exercise%20gif" TargetMode="External"/><Relationship Id="rId177" Type="http://schemas.openxmlformats.org/officeDocument/2006/relationships/hyperlink" Target="https://www.youtube.com/results?search_query=Deep%20squat%20hold%20tutorial" TargetMode="External"/><Relationship Id="rId178" Type="http://schemas.openxmlformats.org/officeDocument/2006/relationships/hyperlink" Target="https://www.google.com/search?tbm=isch&amp;q=Deep%20squat%20hold%20exercise%20gif" TargetMode="External"/><Relationship Id="rId179" Type="http://schemas.openxmlformats.org/officeDocument/2006/relationships/hyperlink" Target="https://www.youtube.com/results?search_query=Get-up%20&#8212;%20squat%20sit-to-stand%20(no%20hands)%20tutorial" TargetMode="External"/><Relationship Id="rId180" Type="http://schemas.openxmlformats.org/officeDocument/2006/relationships/hyperlink" Target="https://www.google.com/search?tbm=isch&amp;q=Get-up%20&#8212;%20squat%20sit-to-stand%20(no%20hands)%20exercise%20gif" TargetMode="External"/><Relationship Id="rId181" Type="http://schemas.openxmlformats.org/officeDocument/2006/relationships/hyperlink" Target="https://www.youtube.com/results?search_query=Hollow%20body%20rock%20tutorial" TargetMode="External"/><Relationship Id="rId182" Type="http://schemas.openxmlformats.org/officeDocument/2006/relationships/hyperlink" Target="https://www.google.com/search?tbm=isch&amp;q=Hollow%20body%20rock%20exercise%20gif" TargetMode="External"/><Relationship Id="rId183" Type="http://schemas.openxmlformats.org/officeDocument/2006/relationships/hyperlink" Target="https://www.youtube.com/results?search_query=Arch%20body%20hold%20tutorial" TargetMode="External"/><Relationship Id="rId184" Type="http://schemas.openxmlformats.org/officeDocument/2006/relationships/hyperlink" Target="https://www.google.com/search?tbm=isch&amp;q=Arch%20body%20hold%20exercise%20gif" TargetMode="External"/><Relationship Id="rId185" Type="http://schemas.openxmlformats.org/officeDocument/2006/relationships/hyperlink" Target="https://www.youtube.com/results?search_query=Pike%20sit%20&#8212;%20wall%20assisted%20compression%20tutorial" TargetMode="External"/><Relationship Id="rId186" Type="http://schemas.openxmlformats.org/officeDocument/2006/relationships/hyperlink" Target="https://www.google.com/search?tbm=isch&amp;q=Pike%20sit%20&#8212;%20wall%20assisted%20compression%20exercise%20gif" TargetMode="External"/><Relationship Id="rId187" Type="http://schemas.openxmlformats.org/officeDocument/2006/relationships/hyperlink" Target="https://www.youtube.com/results?search_query=Straddle%20sit%20&#8212;%20active%20compression%20tutorial" TargetMode="External"/><Relationship Id="rId188" Type="http://schemas.openxmlformats.org/officeDocument/2006/relationships/hyperlink" Target="https://www.google.com/search?tbm=isch&amp;q=Straddle%20sit%20&#8212;%20active%20compression%20exercise%20gif" TargetMode="External"/><Relationship Id="rId189" Type="http://schemas.openxmlformats.org/officeDocument/2006/relationships/hyperlink" Target="https://www.youtube.com/results?search_query=Seated%20straddle%20fold%20&#8212;%20passive%20tutorial" TargetMode="External"/><Relationship Id="rId190" Type="http://schemas.openxmlformats.org/officeDocument/2006/relationships/hyperlink" Target="https://www.google.com/search?tbm=isch&amp;q=Seated%20straddle%20fold%20&#8212;%20passive%20exercise%20gif" TargetMode="External"/><Relationship Id="rId191" Type="http://schemas.openxmlformats.org/officeDocument/2006/relationships/hyperlink" Target="https://www.youtube.com/results?search_query=Front%20line%20drill%20&#8212;%20handstand%20bodyline%20tutorial" TargetMode="External"/><Relationship Id="rId192" Type="http://schemas.openxmlformats.org/officeDocument/2006/relationships/hyperlink" Target="https://www.google.com/search?tbm=isch&amp;q=Front%20line%20drill%20&#8212;%20handstand%20bodyline%20exercise%20gif" TargetMode="External"/><Relationship Id="rId193" Type="http://schemas.openxmlformats.org/officeDocument/2006/relationships/hyperlink" Target="https://www.youtube.com/results?search_query=Handstand%20&#8212;%20wall%20plank%20tutorial" TargetMode="External"/><Relationship Id="rId194" Type="http://schemas.openxmlformats.org/officeDocument/2006/relationships/hyperlink" Target="https://www.google.com/search?tbm=isch&amp;q=Handstand%20&#8212;%20wall%20plank%20exercise%20gif" TargetMode="External"/><Relationship Id="rId195" Type="http://schemas.openxmlformats.org/officeDocument/2006/relationships/hyperlink" Target="https://www.youtube.com/results?search_query=Handstand%20&#8212;%20wall%20hold%20tutorial" TargetMode="External"/><Relationship Id="rId196" Type="http://schemas.openxmlformats.org/officeDocument/2006/relationships/hyperlink" Target="https://www.google.com/search?tbm=isch&amp;q=Handstand%20&#8212;%20wall%20hold%20exercise%20gif" TargetMode="External"/><Relationship Id="rId197" Type="http://schemas.openxmlformats.org/officeDocument/2006/relationships/hyperlink" Target="https://www.youtube.com/results?search_query=Wall%20walk%20tutorial" TargetMode="External"/><Relationship Id="rId198" Type="http://schemas.openxmlformats.org/officeDocument/2006/relationships/hyperlink" Target="https://www.google.com/search?tbm=isch&amp;q=Wall%20walk%20exercise%20gif" TargetMode="External"/><Relationship Id="rId199" Type="http://schemas.openxmlformats.org/officeDocument/2006/relationships/hyperlink" Target="https://www.youtube.com/results?search_query=Handstand%20&#8212;%20wall%20shoulder%20taps%20tutorial" TargetMode="External"/><Relationship Id="rId200" Type="http://schemas.openxmlformats.org/officeDocument/2006/relationships/hyperlink" Target="https://www.google.com/search?tbm=isch&amp;q=Handstand%20&#8212;%20wall%20shoulder%20taps%20exercise%20gif" TargetMode="External"/><Relationship Id="rId201" Type="http://schemas.openxmlformats.org/officeDocument/2006/relationships/hyperlink" Target="https://www.youtube.com/results?search_query=Pike%20push-up%20tutorial" TargetMode="External"/><Relationship Id="rId202" Type="http://schemas.openxmlformats.org/officeDocument/2006/relationships/hyperlink" Target="https://www.google.com/search?tbm=isch&amp;q=Pike%20push-up%20exercise%20gif" TargetMode="External"/><Relationship Id="rId203" Type="http://schemas.openxmlformats.org/officeDocument/2006/relationships/hyperlink" Target="https://www.youtube.com/results?search_query=Handstand%20&#8212;%20kick-up%20practice%20tutorial" TargetMode="External"/><Relationship Id="rId204" Type="http://schemas.openxmlformats.org/officeDocument/2006/relationships/hyperlink" Target="https://www.google.com/search?tbm=isch&amp;q=Handstand%20&#8212;%20kick-up%20practice%20exercise%20gif" TargetMode="External"/><Relationship Id="rId205" Type="http://schemas.openxmlformats.org/officeDocument/2006/relationships/hyperlink" Target="https://www.youtube.com/results?search_query=Wall%20walk%20tutorial" TargetMode="External"/><Relationship Id="rId206" Type="http://schemas.openxmlformats.org/officeDocument/2006/relationships/hyperlink" Target="https://www.google.com/search?tbm=isch&amp;q=Wall%20walk%20exercise%20gif" TargetMode="External"/><Relationship Id="rId207" Type="http://schemas.openxmlformats.org/officeDocument/2006/relationships/hyperlink" Target="https://www.youtube.com/results?search_query=Handstand%20&#8212;%20wall%20shoulder%20taps%20tutorial" TargetMode="External"/><Relationship Id="rId208" Type="http://schemas.openxmlformats.org/officeDocument/2006/relationships/hyperlink" Target="https://www.google.com/search?tbm=isch&amp;q=Handstand%20&#8212;%20wall%20shoulder%20taps%20exercise%20gif" TargetMode="External"/><Relationship Id="rId209" Type="http://schemas.openxmlformats.org/officeDocument/2006/relationships/hyperlink" Target="https://www.youtube.com/results?search_query=Pike%20push-up%20tutorial" TargetMode="External"/><Relationship Id="rId210" Type="http://schemas.openxmlformats.org/officeDocument/2006/relationships/hyperlink" Target="https://www.google.com/search?tbm=isch&amp;q=Pike%20push-up%20exercise%20gif" TargetMode="External"/><Relationship Id="rId211" Type="http://schemas.openxmlformats.org/officeDocument/2006/relationships/hyperlink" Target="https://www.youtube.com/results?search_query=Handstand%20&#8212;%20kick-up%20practice%20tutorial" TargetMode="External"/><Relationship Id="rId212" Type="http://schemas.openxmlformats.org/officeDocument/2006/relationships/hyperlink" Target="https://www.google.com/search?tbm=isch&amp;q=Handstand%20&#8212;%20kick-up%20practice%20exercise%20gif" TargetMode="External"/><Relationship Id="rId213" Type="http://schemas.openxmlformats.org/officeDocument/2006/relationships/hyperlink" Target="https://www.youtube.com/results?search_query=Brachiation%20&#8212;%20swing%20to%20swing%20tutorial" TargetMode="External"/><Relationship Id="rId214" Type="http://schemas.openxmlformats.org/officeDocument/2006/relationships/hyperlink" Target="https://www.google.com/search?tbm=isch&amp;q=Brachiation%20&#8212;%20swing%20to%20swing%20exercise%20gif" TargetMode="External"/><Relationship Id="rId215" Type="http://schemas.openxmlformats.org/officeDocument/2006/relationships/hyperlink" Target="https://www.youtube.com/results?search_query=Arch%20hang%20tutorial" TargetMode="External"/><Relationship Id="rId216" Type="http://schemas.openxmlformats.org/officeDocument/2006/relationships/hyperlink" Target="https://www.google.com/search?tbm=isch&amp;q=Arch%20hang%20exercise%20gif" TargetMode="External"/><Relationship Id="rId217" Type="http://schemas.openxmlformats.org/officeDocument/2006/relationships/hyperlink" Target="https://www.youtube.com/results?search_query=Meat%20hook%20hang%20tutorial" TargetMode="External"/><Relationship Id="rId218" Type="http://schemas.openxmlformats.org/officeDocument/2006/relationships/hyperlink" Target="https://www.google.com/search?tbm=isch&amp;q=Meat%20hook%20hang%20exercise%20gif" TargetMode="External"/><Relationship Id="rId219" Type="http://schemas.openxmlformats.org/officeDocument/2006/relationships/hyperlink" Target="https://www.youtube.com/results?search_query=Scapular%20pull-ups%20tutorial" TargetMode="External"/><Relationship Id="rId220" Type="http://schemas.openxmlformats.org/officeDocument/2006/relationships/hyperlink" Target="https://www.google.com/search?tbm=isch&amp;q=Scapular%20pull-ups%20exercise%20gif" TargetMode="External"/><Relationship Id="rId221" Type="http://schemas.openxmlformats.org/officeDocument/2006/relationships/hyperlink" Target="https://www.youtube.com/results?search_query=Scapular%20pull-ups%20tutorial" TargetMode="External"/><Relationship Id="rId222" Type="http://schemas.openxmlformats.org/officeDocument/2006/relationships/hyperlink" Target="https://www.google.com/search?tbm=isch&amp;q=Scapular%20pull-ups%20exercise%20gif" TargetMode="External"/><Relationship Id="rId223" Type="http://schemas.openxmlformats.org/officeDocument/2006/relationships/hyperlink" Target="https://www.youtube.com/results?search_query=Frog%20stretch%20tutorial" TargetMode="External"/><Relationship Id="rId224" Type="http://schemas.openxmlformats.org/officeDocument/2006/relationships/hyperlink" Target="https://www.google.com/search?tbm=isch&amp;q=Frog%20stretch%20exercise%20gif" TargetMode="External"/><Relationship Id="rId225" Type="http://schemas.openxmlformats.org/officeDocument/2006/relationships/hyperlink" Target="https://www.youtube.com/results?search_query=Ankle%20dorsiflexion%20stretch%20tutorial" TargetMode="External"/><Relationship Id="rId226" Type="http://schemas.openxmlformats.org/officeDocument/2006/relationships/hyperlink" Target="https://www.google.com/search?tbm=isch&amp;q=Ankle%20dorsiflexion%20stretch%20exercise%20gif" TargetMode="External"/><Relationship Id="rId227" Type="http://schemas.openxmlformats.org/officeDocument/2006/relationships/hyperlink" Target="https://www.youtube.com/results?search_query=Ankle%20circles%20tutorial" TargetMode="External"/><Relationship Id="rId228" Type="http://schemas.openxmlformats.org/officeDocument/2006/relationships/hyperlink" Target="https://www.google.com/search?tbm=isch&amp;q=Ankle%20circles%20exercise%20gif" TargetMode="External"/><Relationship Id="rId229" Type="http://schemas.openxmlformats.org/officeDocument/2006/relationships/hyperlink" Target="https://www.youtube.com/results?search_query=Knee-over-toe%20stretch%20tutorial" TargetMode="External"/><Relationship Id="rId230" Type="http://schemas.openxmlformats.org/officeDocument/2006/relationships/hyperlink" Target="https://www.google.com/search?tbm=isch&amp;q=Knee-over-toe%20stretch%20exercise%20gif" TargetMode="External"/><Relationship Id="rId231" Type="http://schemas.openxmlformats.org/officeDocument/2006/relationships/hyperlink" Target="https://www.youtube.com/results?search_query=Doorway%20chest%20stretch%20tutorial" TargetMode="External"/><Relationship Id="rId232" Type="http://schemas.openxmlformats.org/officeDocument/2006/relationships/hyperlink" Target="https://www.google.com/search?tbm=isch&amp;q=Doorway%20chest%20stretch%20exercise%20gif" TargetMode="External"/><Relationship Id="rId233" Type="http://schemas.openxmlformats.org/officeDocument/2006/relationships/hyperlink" Target="https://www.youtube.com/results?search_query=Dynamic%20stretches%20&#8212;%20general%20tutorial" TargetMode="External"/><Relationship Id="rId234" Type="http://schemas.openxmlformats.org/officeDocument/2006/relationships/hyperlink" Target="https://www.google.com/search?tbm=isch&amp;q=Dynamic%20stretches%20&#8212;%20general%20exercise%20gif" TargetMode="External"/><Relationship Id="rId235" Type="http://schemas.openxmlformats.org/officeDocument/2006/relationships/hyperlink" Target="https://www.youtube.com/results?search_query=Leg%20swings%20&#8212;%20dynamic%20tutorial" TargetMode="External"/><Relationship Id="rId236" Type="http://schemas.openxmlformats.org/officeDocument/2006/relationships/hyperlink" Target="https://www.google.com/search?tbm=isch&amp;q=Leg%20swings%20&#8212;%20dynamic%20exercise%20gif" TargetMode="External"/><Relationship Id="rId237" Type="http://schemas.openxmlformats.org/officeDocument/2006/relationships/hyperlink" Target="https://www.youtube.com/results?search_query=Hip%20circles%20&#8212;%20dynamic%20tutorial" TargetMode="External"/><Relationship Id="rId238" Type="http://schemas.openxmlformats.org/officeDocument/2006/relationships/hyperlink" Target="https://www.google.com/search?tbm=isch&amp;q=Hip%20circles%20&#8212;%20dynamic%20exercise%20gif" TargetMode="External"/><Relationship Id="rId239" Type="http://schemas.openxmlformats.org/officeDocument/2006/relationships/hyperlink" Target="https://www.youtube.com/results?search_query=World&apos;s%20greatest%20stretch%20tutorial" TargetMode="External"/><Relationship Id="rId240" Type="http://schemas.openxmlformats.org/officeDocument/2006/relationships/hyperlink" Target="https://www.google.com/search?tbm=isch&amp;q=World&apos;s%20greatest%20stretch%20exercise%20gif" TargetMode="External"/><Relationship Id="rId241" Type="http://schemas.openxmlformats.org/officeDocument/2006/relationships/hyperlink" Target="https://www.youtube.com/results?search_query=Pronator%20stretch%20tutorial" TargetMode="External"/><Relationship Id="rId242" Type="http://schemas.openxmlformats.org/officeDocument/2006/relationships/hyperlink" Target="https://www.google.com/search?tbm=isch&amp;q=Pronator%20stretch%20exercise%20gif" TargetMode="External"/><Relationship Id="rId243" Type="http://schemas.openxmlformats.org/officeDocument/2006/relationships/hyperlink" Target="https://www.youtube.com/results?search_query=Single-leg%20hamstring%20stretch%20tutorial" TargetMode="External"/><Relationship Id="rId244" Type="http://schemas.openxmlformats.org/officeDocument/2006/relationships/hyperlink" Target="https://www.google.com/search?tbm=isch&amp;q=Single-leg%20hamstring%20stretch%20exercise%20gif" TargetMode="External"/><Relationship Id="rId245" Type="http://schemas.openxmlformats.org/officeDocument/2006/relationships/hyperlink" Target="https://www.youtube.com/results?search_query=Hurdler%20stretch%20tutorial" TargetMode="External"/><Relationship Id="rId246" Type="http://schemas.openxmlformats.org/officeDocument/2006/relationships/hyperlink" Target="https://www.google.com/search?tbm=isch&amp;q=Hurdler%20stretch%20exercise%20gif" TargetMode="External"/><Relationship Id="rId247" Type="http://schemas.openxmlformats.org/officeDocument/2006/relationships/hyperlink" Target="https://www.youtube.com/results?search_query=Good%20morning%20stretch%20(bodyweight)%20tutorial" TargetMode="External"/><Relationship Id="rId248" Type="http://schemas.openxmlformats.org/officeDocument/2006/relationships/hyperlink" Target="https://www.google.com/search?tbm=isch&amp;q=Good%20morning%20stretch%20(bodyweight)%20exercise%20gif" TargetMode="External"/><Relationship Id="rId249" Type="http://schemas.openxmlformats.org/officeDocument/2006/relationships/hyperlink" Target="https://www.youtube.com/results?search_query=Tendon%20glides%20tutorial" TargetMode="External"/><Relationship Id="rId250" Type="http://schemas.openxmlformats.org/officeDocument/2006/relationships/hyperlink" Target="https://www.google.com/search?tbm=isch&amp;q=Tendon%20glides%20exercise%20gif" TargetMode="External"/><Relationship Id="rId251" Type="http://schemas.openxmlformats.org/officeDocument/2006/relationships/hyperlink" Target="https://www.youtube.com/results?search_query=Knee-to-chest%20stretch%20tutorial" TargetMode="External"/><Relationship Id="rId252" Type="http://schemas.openxmlformats.org/officeDocument/2006/relationships/hyperlink" Target="https://www.google.com/search?tbm=isch&amp;q=Knee-to-chest%20stretch%20exercise%20gif" TargetMode="External"/><Relationship Id="rId253" Type="http://schemas.openxmlformats.org/officeDocument/2006/relationships/hyperlink" Target="https://www.youtube.com/results?search_query=Pelvic%20tilt%20tutorial" TargetMode="External"/><Relationship Id="rId254" Type="http://schemas.openxmlformats.org/officeDocument/2006/relationships/hyperlink" Target="https://www.google.com/search?tbm=isch&amp;q=Pelvic%20tilt%20exercise%20gif" TargetMode="External"/><Relationship Id="rId255" Type="http://schemas.openxmlformats.org/officeDocument/2006/relationships/hyperlink" Target="https://www.youtube.com/results?search_query=Chin%20tuck%20%2F%20cervical%20retraction%20tutorial" TargetMode="External"/><Relationship Id="rId256" Type="http://schemas.openxmlformats.org/officeDocument/2006/relationships/hyperlink" Target="https://www.google.com/search?tbm=isch&amp;q=Chin%20tuck%20%2F%20cervical%20retraction%20exercise%20gif" TargetMode="External"/><Relationship Id="rId257" Type="http://schemas.openxmlformats.org/officeDocument/2006/relationships/hyperlink" Target="https://www.youtube.com/results?search_query=Standing%20quad%20stretch%20tutorial" TargetMode="External"/><Relationship Id="rId258" Type="http://schemas.openxmlformats.org/officeDocument/2006/relationships/hyperlink" Target="https://www.google.com/search?tbm=isch&amp;q=Standing%20quad%20stretch%20exercise%20gif" TargetMode="External"/><Relationship Id="rId259" Type="http://schemas.openxmlformats.org/officeDocument/2006/relationships/hyperlink" Target="https://www.youtube.com/results?search_query=Foam%20rolling%20&#8212;%20quads%20tutorial" TargetMode="External"/><Relationship Id="rId260" Type="http://schemas.openxmlformats.org/officeDocument/2006/relationships/hyperlink" Target="https://www.google.com/search?tbm=isch&amp;q=Foam%20rolling%20&#8212;%20quads%20exercise%20gif" TargetMode="External"/><Relationship Id="rId261" Type="http://schemas.openxmlformats.org/officeDocument/2006/relationships/hyperlink" Target="https://www.youtube.com/results?search_query=Foam%20rolling%20&#8212;%20IT%20band%20tutorial" TargetMode="External"/><Relationship Id="rId262" Type="http://schemas.openxmlformats.org/officeDocument/2006/relationships/hyperlink" Target="https://www.google.com/search?tbm=isch&amp;q=Foam%20rolling%20&#8212;%20IT%20band%20exercise%20gif" TargetMode="External"/><Relationship Id="rId263" Type="http://schemas.openxmlformats.org/officeDocument/2006/relationships/hyperlink" Target="https://www.youtube.com/results?search_query=Foam%20rolling%20&#8212;%20calves%20tutorial" TargetMode="External"/><Relationship Id="rId264" Type="http://schemas.openxmlformats.org/officeDocument/2006/relationships/hyperlink" Target="https://www.google.com/search?tbm=isch&amp;q=Foam%20rolling%20&#8212;%20calves%20exercise%20gif" TargetMode="External"/><Relationship Id="rId265" Type="http://schemas.openxmlformats.org/officeDocument/2006/relationships/hyperlink" Target="https://www.youtube.com/results?search_query=Foam%20rolling%20&#8212;%20glutes%20%2F%20piriformis%20tutorial" TargetMode="External"/><Relationship Id="rId266" Type="http://schemas.openxmlformats.org/officeDocument/2006/relationships/hyperlink" Target="https://www.google.com/search?tbm=isch&amp;q=Foam%20rolling%20&#8212;%20glutes%20%2F%20piriformis%20exercise%20gif" TargetMode="External"/><Relationship Id="rId267" Type="http://schemas.openxmlformats.org/officeDocument/2006/relationships/hyperlink" Target="https://www.youtube.com/results?search_query=Foam%20rolling%20&#8212;%20upper%20back%20%2F%20lats%20tutorial" TargetMode="External"/><Relationship Id="rId268" Type="http://schemas.openxmlformats.org/officeDocument/2006/relationships/hyperlink" Target="https://www.google.com/search?tbm=isch&amp;q=Foam%20rolling%20&#8212;%20upper%20back%20%2F%20lats%20exercise%20gif" TargetMode="External"/><Relationship Id="rId269" Type="http://schemas.openxmlformats.org/officeDocument/2006/relationships/hyperlink" Target="https://www.youtube.com/results?search_query=Shoulder%20flexion%20overhead%20stretch%20tutorial" TargetMode="External"/><Relationship Id="rId270" Type="http://schemas.openxmlformats.org/officeDocument/2006/relationships/hyperlink" Target="https://www.google.com/search?tbm=isch&amp;q=Shoulder%20flexion%20overhead%20stretch%20exercise%20gif" TargetMode="External"/><Relationship Id="rId271" Type="http://schemas.openxmlformats.org/officeDocument/2006/relationships/hyperlink" Target="https://www.youtube.com/results?search_query=Sleeper%20stretch%20tutorial" TargetMode="External"/><Relationship Id="rId272" Type="http://schemas.openxmlformats.org/officeDocument/2006/relationships/hyperlink" Target="https://www.google.com/search?tbm=isch&amp;q=Sleeper%20stretch%20exercise%20gif" TargetMode="External"/><Relationship Id="rId273" Type="http://schemas.openxmlformats.org/officeDocument/2006/relationships/hyperlink" Target="https://www.youtube.com/results?search_query=Windshield%20wipers%20tutorial" TargetMode="External"/><Relationship Id="rId274" Type="http://schemas.openxmlformats.org/officeDocument/2006/relationships/hyperlink" Target="https://www.google.com/search?tbm=isch&amp;q=Windshield%20wipers%20exercise%20gif" TargetMode="External"/><Relationship Id="rId275" Type="http://schemas.openxmlformats.org/officeDocument/2006/relationships/hyperlink" Target="https://www.youtube.com/results?search_query=Squat%20&#8212;%20knee-out%20pump%20tutorial" TargetMode="External"/><Relationship Id="rId276" Type="http://schemas.openxmlformats.org/officeDocument/2006/relationships/hyperlink" Target="https://www.google.com/search?tbm=isch&amp;q=Squat%20&#8212;%20knee-out%20pump%20exercise%20gif" TargetMode="External"/><Relationship Id="rId277" Type="http://schemas.openxmlformats.org/officeDocument/2006/relationships/hyperlink" Target="https://www.youtube.com/results?search_query=Squat%20&#8212;%20heel%20raise%2C%20big%20toe%20stretch%20tutorial" TargetMode="External"/><Relationship Id="rId278" Type="http://schemas.openxmlformats.org/officeDocument/2006/relationships/hyperlink" Target="https://www.google.com/search?tbm=isch&amp;q=Squat%20&#8212;%20heel%20raise%2C%20big%20toe%20stretch%20exercise%20gif" TargetMode="External"/><Relationship Id="rId279" Type="http://schemas.openxmlformats.org/officeDocument/2006/relationships/hyperlink" Target="https://www.youtube.com/results?search_query=Squat%20&#8212;%20internal%20knee%20rotation%20hold%20tutorial" TargetMode="External"/><Relationship Id="rId280" Type="http://schemas.openxmlformats.org/officeDocument/2006/relationships/hyperlink" Target="https://www.google.com/search?tbm=isch&amp;q=Squat%20&#8212;%20internal%20knee%20rotation%20hold%20exercise%20gif" TargetMode="External"/><Relationship Id="rId281" Type="http://schemas.openxmlformats.org/officeDocument/2006/relationships/hyperlink" Target="https://www.youtube.com/results?search_query=Bridge%20%2F%20wheel%20tutorial" TargetMode="External"/><Relationship Id="rId282" Type="http://schemas.openxmlformats.org/officeDocument/2006/relationships/hyperlink" Target="https://www.google.com/search?tbm=isch&amp;q=Bridge%20%2F%20wheel%20exercise%20gif" TargetMode="External"/><Relationship Id="rId283" Type="http://schemas.openxmlformats.org/officeDocument/2006/relationships/hyperlink" Target="https://www.youtube.com/results?search_query=Bear%20hug%20stretch%20tutorial" TargetMode="External"/><Relationship Id="rId284" Type="http://schemas.openxmlformats.org/officeDocument/2006/relationships/hyperlink" Target="https://www.google.com/search?tbm=isch&amp;q=Bear%20hug%20stretch%20exercise%20gif" TargetMode="External"/><Relationship Id="rId285" Type="http://schemas.openxmlformats.org/officeDocument/2006/relationships/hyperlink" Target="https://www.youtube.com/results?search_query=Prayer%20stretch%20tutorial" TargetMode="External"/><Relationship Id="rId286" Type="http://schemas.openxmlformats.org/officeDocument/2006/relationships/hyperlink" Target="https://www.google.com/search?tbm=isch&amp;q=Prayer%20stretch%20exercise%20gif" TargetMode="External"/><Relationship Id="rId287" Type="http://schemas.openxmlformats.org/officeDocument/2006/relationships/hyperlink" Target="https://www.youtube.com/results?search_query=Wrist%20circles%20tutorial" TargetMode="External"/><Relationship Id="rId288" Type="http://schemas.openxmlformats.org/officeDocument/2006/relationships/hyperlink" Target="https://www.google.com/search?tbm=isch&amp;q=Wrist%20circles%20exercise%20gif" TargetMode="External"/><Relationship Id="rId289" Type="http://schemas.openxmlformats.org/officeDocument/2006/relationships/hyperlink" Target="https://www.youtube.com/results?search_query=Shoulder%20CARs%20tutorial" TargetMode="External"/><Relationship Id="rId290" Type="http://schemas.openxmlformats.org/officeDocument/2006/relationships/hyperlink" Target="https://www.google.com/search?tbm=isch&amp;q=Shoulder%20CARs%20exercise%20gif" TargetMode="External"/><Relationship Id="rId291" Type="http://schemas.openxmlformats.org/officeDocument/2006/relationships/hyperlink" Target="https://www.youtube.com/results?search_query=Ankle%20mobility%20rocks%20tutorial" TargetMode="External"/><Relationship Id="rId292" Type="http://schemas.openxmlformats.org/officeDocument/2006/relationships/hyperlink" Target="https://www.google.com/search?tbm=isch&amp;q=Ankle%20mobility%20rocks%20exercise%20gif" TargetMode="External"/><Relationship Id="rId293" Type="http://schemas.openxmlformats.org/officeDocument/2006/relationships/hyperlink" Target="https://www.youtube.com/results?search_query=Open%20awareness%20%2F%20do%20nothing%20tutorial" TargetMode="External"/><Relationship Id="rId294" Type="http://schemas.openxmlformats.org/officeDocument/2006/relationships/hyperlink" Target="https://www.google.com/search?tbm=isch&amp;q=Open%20awareness%20%2F%20do%20nothing%20exercise%20gif" TargetMode="External"/><Relationship Id="rId295" Type="http://schemas.openxmlformats.org/officeDocument/2006/relationships/hyperlink" Target="https://www.youtube.com/results?search_query=Box%20breathing%20tutorial" TargetMode="External"/><Relationship Id="rId296" Type="http://schemas.openxmlformats.org/officeDocument/2006/relationships/hyperlink" Target="https://www.google.com/search?tbm=isch&amp;q=Box%20breathing%20exercise%20gif" TargetMode="External"/><Relationship Id="rId297" Type="http://schemas.openxmlformats.org/officeDocument/2006/relationships/hyperlink" Target="https://www.youtube.com/results?search_query=Diaphragmatic%20breathing%20tutorial" TargetMode="External"/><Relationship Id="rId298" Type="http://schemas.openxmlformats.org/officeDocument/2006/relationships/hyperlink" Target="https://www.google.com/search?tbm=isch&amp;q=Diaphragmatic%20breathing%20exercise%20gif" TargetMode="External"/><Relationship Id="rId299" Type="http://schemas.openxmlformats.org/officeDocument/2006/relationships/hyperlink" Target="https://www.youtube.com/results?search_query=Wim%20Hof%20breathwork%20tutorial" TargetMode="External"/><Relationship Id="rId300" Type="http://schemas.openxmlformats.org/officeDocument/2006/relationships/hyperlink" Target="https://www.google.com/search?tbm=isch&amp;q=Wim%20Hof%20breathwork%20exercise%20gif" TargetMode="External"/><Relationship Id="rId301" Type="http://schemas.openxmlformats.org/officeDocument/2006/relationships/hyperlink" Target="https://www.youtube.com/results?search_query=Physiological%20sigh%20tutorial" TargetMode="External"/><Relationship Id="rId302" Type="http://schemas.openxmlformats.org/officeDocument/2006/relationships/hyperlink" Target="https://www.google.com/search?tbm=isch&amp;q=Physiological%20sigh%20exercise%20gif" TargetMode="External"/><Relationship Id="rId303" Type="http://schemas.openxmlformats.org/officeDocument/2006/relationships/hyperlink" Target="https://www.youtube.com/results?search_query=Extended-exhale%20breathing%20(4&#8211;8)%20tutorial" TargetMode="External"/><Relationship Id="rId304" Type="http://schemas.openxmlformats.org/officeDocument/2006/relationships/hyperlink" Target="https://www.google.com/search?tbm=isch&amp;q=Extended-exhale%20breathing%20(4&#8211;8)%20exercise%20gif" TargetMode="External"/><Relationship Id="rId305" Type="http://schemas.openxmlformats.org/officeDocument/2006/relationships/hyperlink" Target="https://www.youtube.com/results?search_query=Physiological%20sigh%20tutorial" TargetMode="External"/><Relationship Id="rId306" Type="http://schemas.openxmlformats.org/officeDocument/2006/relationships/hyperlink" Target="https://www.google.com/search?tbm=isch&amp;q=Physiological%20sigh%20exercise%20gif" TargetMode="External"/><Relationship Id="rId307" Type="http://schemas.openxmlformats.org/officeDocument/2006/relationships/hyperlink" Target="https://www.youtube.com/results?search_query=Extended-exhale%20breathing%20(4&#8211;8)%20tutorial" TargetMode="External"/><Relationship Id="rId308" Type="http://schemas.openxmlformats.org/officeDocument/2006/relationships/hyperlink" Target="https://www.google.com/search?tbm=isch&amp;q=Extended-exhale%20breathing%20(4&#8211;8)%20exercise%20gif" TargetMode="External"/><Relationship Id="rId309" Type="http://schemas.openxmlformats.org/officeDocument/2006/relationships/hyperlink" Target="https://www.youtube.com/results?search_query=Trataka%20&#8212;%20candle%20%2F%20point%20focus%20tutorial" TargetMode="External"/><Relationship Id="rId310" Type="http://schemas.openxmlformats.org/officeDocument/2006/relationships/hyperlink" Target="https://www.google.com/search?tbm=isch&amp;q=Trataka%20&#8212;%20candle%20%2F%20point%20focus%20exercise%20gif" TargetMode="External"/><Relationship Id="rId311" Type="http://schemas.openxmlformats.org/officeDocument/2006/relationships/hyperlink" Target="https://www.youtube.com/results?search_query=Yoga%20nidra%20tutorial" TargetMode="External"/><Relationship Id="rId312" Type="http://schemas.openxmlformats.org/officeDocument/2006/relationships/hyperlink" Target="https://www.google.com/search?tbm=isch&amp;q=Yoga%20nidra%20exercise%20gif" TargetMode="External"/><Relationship Id="rId313" Type="http://schemas.openxmlformats.org/officeDocument/2006/relationships/hyperlink" Target="https://www.youtube.com/results?search_query=Visualization%20&#8212;%20skill%20goals%20tutorial" TargetMode="External"/><Relationship Id="rId314" Type="http://schemas.openxmlformats.org/officeDocument/2006/relationships/hyperlink" Target="https://www.google.com/search?tbm=isch&amp;q=Visualization%20&#8212;%20skill%20goals%20exercise%20gif" TargetMode="External"/><Relationship Id="rId315" Type="http://schemas.openxmlformats.org/officeDocument/2006/relationships/hyperlink" Target="https://www.youtube.com/results?search_query=Gaze%20stabilisation%20-%20head%20turns%20tutorial" TargetMode="External"/><Relationship Id="rId316" Type="http://schemas.openxmlformats.org/officeDocument/2006/relationships/hyperlink" Target="https://www.google.com/search?tbm=isch&amp;q=Gaze%20stabilisation%20-%20head%20turns%20exercise%20gif" TargetMode="External"/><Relationship Id="rId317" Type="http://schemas.openxmlformats.org/officeDocument/2006/relationships/hyperlink" Target="https://www.youtube.com/results?search_query=Balance%20stick%20&#8212;%20static%20hold%20tutorial" TargetMode="External"/><Relationship Id="rId318" Type="http://schemas.openxmlformats.org/officeDocument/2006/relationships/hyperlink" Target="https://www.google.com/search?tbm=isch&amp;q=Balance%20stick%20&#8212;%20static%20hold%20exercise%20gif" TargetMode="External"/><Relationship Id="rId319" Type="http://schemas.openxmlformats.org/officeDocument/2006/relationships/hyperlink" Target="https://www.youtube.com/results?search_query=Balance%20stick%20&#8212;%20walking%20tutorial" TargetMode="External"/><Relationship Id="rId320" Type="http://schemas.openxmlformats.org/officeDocument/2006/relationships/hyperlink" Target="https://www.google.com/search?tbm=isch&amp;q=Balance%20stick%20&#8212;%20walking%20exercise%20gif" TargetMode="External"/><Relationship Id="rId321" Type="http://schemas.openxmlformats.org/officeDocument/2006/relationships/hyperlink" Target="https://www.youtube.com/results?search_query=Balance%20stick%20&#8212;%20hand%20to%20hand%20transfer%20tutorial" TargetMode="External"/><Relationship Id="rId322" Type="http://schemas.openxmlformats.org/officeDocument/2006/relationships/hyperlink" Target="https://www.google.com/search?tbm=isch&amp;q=Balance%20stick%20&#8212;%20hand%20to%20hand%20transfer%20exercise%20gif" TargetMode="External"/><Relationship Id="rId323" Type="http://schemas.openxmlformats.org/officeDocument/2006/relationships/hyperlink" Target="https://www.youtube.com/results?search_query=A-march%20tutorial" TargetMode="External"/><Relationship Id="rId324" Type="http://schemas.openxmlformats.org/officeDocument/2006/relationships/hyperlink" Target="https://www.google.com/search?tbm=isch&amp;q=A-march%20exercise%20gif" TargetMode="External"/><Relationship Id="rId325" Type="http://schemas.openxmlformats.org/officeDocument/2006/relationships/hyperlink" Target="https://www.youtube.com/results?search_query=A-skip%20tutorial" TargetMode="External"/><Relationship Id="rId326" Type="http://schemas.openxmlformats.org/officeDocument/2006/relationships/hyperlink" Target="https://www.google.com/search?tbm=isch&amp;q=A-skip%20exercise%20gif" TargetMode="External"/><Relationship Id="rId327" Type="http://schemas.openxmlformats.org/officeDocument/2006/relationships/hyperlink" Target="https://www.youtube.com/results?search_query=B-skip%20tutorial" TargetMode="External"/><Relationship Id="rId328" Type="http://schemas.openxmlformats.org/officeDocument/2006/relationships/hyperlink" Target="https://www.google.com/search?tbm=isch&amp;q=B-skip%20exercise%20gif" TargetMode="External"/><Relationship Id="rId329" Type="http://schemas.openxmlformats.org/officeDocument/2006/relationships/hyperlink" Target="https://www.youtube.com/results?search_query=High%20knees%20tutorial" TargetMode="External"/><Relationship Id="rId330" Type="http://schemas.openxmlformats.org/officeDocument/2006/relationships/hyperlink" Target="https://www.google.com/search?tbm=isch&amp;q=High%20knees%20exercise%20gif" TargetMode="External"/><Relationship Id="rId331" Type="http://schemas.openxmlformats.org/officeDocument/2006/relationships/hyperlink" Target="https://www.youtube.com/results?search_query=Butt%20kicks%20tutorial" TargetMode="External"/><Relationship Id="rId332" Type="http://schemas.openxmlformats.org/officeDocument/2006/relationships/hyperlink" Target="https://www.google.com/search?tbm=isch&amp;q=Butt%20kicks%20exercise%20gif" TargetMode="External"/><Relationship Id="rId333" Type="http://schemas.openxmlformats.org/officeDocument/2006/relationships/hyperlink" Target="https://www.youtube.com/results?search_query=Carioca%20tutorial" TargetMode="External"/><Relationship Id="rId334" Type="http://schemas.openxmlformats.org/officeDocument/2006/relationships/hyperlink" Target="https://www.google.com/search?tbm=isch&amp;q=Carioca%20exercise%20gif" TargetMode="External"/><Relationship Id="rId335" Type="http://schemas.openxmlformats.org/officeDocument/2006/relationships/hyperlink" Target="https://www.youtube.com/results?search_query=Pogo%20hops%20tutorial" TargetMode="External"/><Relationship Id="rId336" Type="http://schemas.openxmlformats.org/officeDocument/2006/relationships/hyperlink" Target="https://www.google.com/search?tbm=isch&amp;q=Pogo%20hops%20exercise%20gif" TargetMode="External"/><Relationship Id="rId337" Type="http://schemas.openxmlformats.org/officeDocument/2006/relationships/hyperlink" Target="https://www.youtube.com/results?search_query=Straight-leg%20bound%20tutorial" TargetMode="External"/><Relationship Id="rId338" Type="http://schemas.openxmlformats.org/officeDocument/2006/relationships/hyperlink" Target="https://www.google.com/search?tbm=isch&amp;q=Straight-leg%20bound%20exercise%20gif" TargetMode="External"/><Relationship Id="rId339" Type="http://schemas.openxmlformats.org/officeDocument/2006/relationships/hyperlink" Target="https://www.youtube.com/results?search_query=Strides%20tutorial" TargetMode="External"/><Relationship Id="rId340" Type="http://schemas.openxmlformats.org/officeDocument/2006/relationships/hyperlink" Target="https://www.google.com/search?tbm=isch&amp;q=Strides%20exercise%20gif" TargetMode="External"/><Relationship Id="rId341" Type="http://schemas.openxmlformats.org/officeDocument/2006/relationships/hyperlink" Target="https://www.youtube.com/results?search_query=A-march%20tutorial" TargetMode="External"/><Relationship Id="rId342" Type="http://schemas.openxmlformats.org/officeDocument/2006/relationships/hyperlink" Target="https://www.google.com/search?tbm=isch&amp;q=A-march%20exercise%20gif" TargetMode="External"/><Relationship Id="rId343" Type="http://schemas.openxmlformats.org/officeDocument/2006/relationships/hyperlink" Target="https://www.youtube.com/results?search_query=A-skip%20tutorial" TargetMode="External"/><Relationship Id="rId344" Type="http://schemas.openxmlformats.org/officeDocument/2006/relationships/hyperlink" Target="https://www.google.com/search?tbm=isch&amp;q=A-skip%20exercise%20gif" TargetMode="External"/><Relationship Id="rId345" Type="http://schemas.openxmlformats.org/officeDocument/2006/relationships/hyperlink" Target="https://www.youtube.com/results?search_query=B-skip%20tutorial" TargetMode="External"/><Relationship Id="rId346" Type="http://schemas.openxmlformats.org/officeDocument/2006/relationships/hyperlink" Target="https://www.google.com/search?tbm=isch&amp;q=B-skip%20exercise%20gif" TargetMode="External"/><Relationship Id="rId347" Type="http://schemas.openxmlformats.org/officeDocument/2006/relationships/hyperlink" Target="https://www.youtube.com/results?search_query=High%20knees%20tutorial" TargetMode="External"/><Relationship Id="rId348" Type="http://schemas.openxmlformats.org/officeDocument/2006/relationships/hyperlink" Target="https://www.google.com/search?tbm=isch&amp;q=High%20knees%20exercise%20gif" TargetMode="External"/><Relationship Id="rId349" Type="http://schemas.openxmlformats.org/officeDocument/2006/relationships/hyperlink" Target="https://www.youtube.com/results?search_query=Butt%20kicks%20tutorial" TargetMode="External"/><Relationship Id="rId350" Type="http://schemas.openxmlformats.org/officeDocument/2006/relationships/hyperlink" Target="https://www.google.com/search?tbm=isch&amp;q=Butt%20kicks%20exercise%20gif" TargetMode="External"/><Relationship Id="rId351" Type="http://schemas.openxmlformats.org/officeDocument/2006/relationships/hyperlink" Target="https://www.youtube.com/results?search_query=Carioca%20tutorial" TargetMode="External"/><Relationship Id="rId352" Type="http://schemas.openxmlformats.org/officeDocument/2006/relationships/hyperlink" Target="https://www.google.com/search?tbm=isch&amp;q=Carioca%20exercise%20gif" TargetMode="External"/><Relationship Id="rId353" Type="http://schemas.openxmlformats.org/officeDocument/2006/relationships/hyperlink" Target="https://www.youtube.com/results?search_query=Pogo%20hops%20tutorial" TargetMode="External"/><Relationship Id="rId354" Type="http://schemas.openxmlformats.org/officeDocument/2006/relationships/hyperlink" Target="https://www.google.com/search?tbm=isch&amp;q=Pogo%20hops%20exercise%20gif" TargetMode="External"/><Relationship Id="rId355" Type="http://schemas.openxmlformats.org/officeDocument/2006/relationships/hyperlink" Target="https://www.youtube.com/results?search_query=Straight-leg%20bound%20tutorial" TargetMode="External"/><Relationship Id="rId356" Type="http://schemas.openxmlformats.org/officeDocument/2006/relationships/hyperlink" Target="https://www.google.com/search?tbm=isch&amp;q=Straight-leg%20bound%20exercise%20gif" TargetMode="External"/><Relationship Id="rId357" Type="http://schemas.openxmlformats.org/officeDocument/2006/relationships/hyperlink" Target="https://www.youtube.com/results?search_query=Strides%20tutorial" TargetMode="External"/><Relationship Id="rId358" Type="http://schemas.openxmlformats.org/officeDocument/2006/relationships/hyperlink" Target="https://www.google.com/search?tbm=isch&amp;q=Strides%20exercise%20gif" TargetMode="External"/><Relationship Id="rId359" Type="http://schemas.openxmlformats.org/officeDocument/2006/relationships/hyperlink" Target="https://www.youtube.com/results?search_query=False%20grip%20hang%20tutorial" TargetMode="External"/><Relationship Id="rId360" Type="http://schemas.openxmlformats.org/officeDocument/2006/relationships/hyperlink" Target="https://www.google.com/search?tbm=isch&amp;q=False%20grip%20hang%20exercise%20gif" TargetMode="External"/><Relationship Id="rId361" Type="http://schemas.openxmlformats.org/officeDocument/2006/relationships/hyperlink" Target="https://www.youtube.com/results?search_query=False%20grip%20hang%20tutorial" TargetMode="External"/><Relationship Id="rId362" Type="http://schemas.openxmlformats.org/officeDocument/2006/relationships/hyperlink" Target="https://www.google.com/search?tbm=isch&amp;q=False%20grip%20hang%20exercise%20gif" TargetMode="External"/><Relationship Id="rId363" Type="http://schemas.openxmlformats.org/officeDocument/2006/relationships/hyperlink" Target="https://www.youtube.com/results?search_query=Ring%20row%20&#8212;%20various%20angles%20tutorial" TargetMode="External"/><Relationship Id="rId364" Type="http://schemas.openxmlformats.org/officeDocument/2006/relationships/hyperlink" Target="https://www.google.com/search?tbm=isch&amp;q=Ring%20row%20&#8212;%20various%20angles%20exercise%20gif" TargetMode="External"/><Relationship Id="rId365" Type="http://schemas.openxmlformats.org/officeDocument/2006/relationships/hyperlink" Target="https://www.youtube.com/results?search_query=False%20grip%20ring%20row%20tutorial" TargetMode="External"/><Relationship Id="rId366" Type="http://schemas.openxmlformats.org/officeDocument/2006/relationships/hyperlink" Target="https://www.google.com/search?tbm=isch&amp;q=False%20grip%20ring%20row%20exercise%20gif" TargetMode="External"/><Relationship Id="rId367" Type="http://schemas.openxmlformats.org/officeDocument/2006/relationships/hyperlink" Target="https://www.youtube.com/results?search_query=Explosive%20%2F%20chest-to-bar%20pull-up%20tutorial" TargetMode="External"/><Relationship Id="rId368" Type="http://schemas.openxmlformats.org/officeDocument/2006/relationships/hyperlink" Target="https://www.google.com/search?tbm=isch&amp;q=Explosive%20%2F%20chest-to-bar%20pull-up%20exercise%20gif" TargetMode="External"/><Relationship Id="rId369" Type="http://schemas.openxmlformats.org/officeDocument/2006/relationships/hyperlink" Target="https://www.youtube.com/results?search_query=False%20grip%20ring%20row%20tutorial" TargetMode="External"/><Relationship Id="rId370" Type="http://schemas.openxmlformats.org/officeDocument/2006/relationships/hyperlink" Target="https://www.google.com/search?tbm=isch&amp;q=False%20grip%20ring%20row%20exercise%20gif" TargetMode="External"/><Relationship Id="rId371" Type="http://schemas.openxmlformats.org/officeDocument/2006/relationships/hyperlink" Target="https://www.youtube.com/results?search_query=Explosive%20%2F%20chest-to-bar%20pull-up%20tutorial" TargetMode="External"/><Relationship Id="rId372" Type="http://schemas.openxmlformats.org/officeDocument/2006/relationships/hyperlink" Target="https://www.google.com/search?tbm=isch&amp;q=Explosive%20%2F%20chest-to-bar%20pull-up%20exercise%20gif" TargetMode="External"/><Relationship Id="rId373" Type="http://schemas.openxmlformats.org/officeDocument/2006/relationships/hyperlink" Target="https://www.youtube.com/results?search_query=Straight%20bar%20dip%20tutorial" TargetMode="External"/><Relationship Id="rId374" Type="http://schemas.openxmlformats.org/officeDocument/2006/relationships/hyperlink" Target="https://www.google.com/search?tbm=isch&amp;q=Straight%20bar%20dip%20exercise%20gif" TargetMode="External"/><Relationship Id="rId375" Type="http://schemas.openxmlformats.org/officeDocument/2006/relationships/hyperlink" Target="https://www.youtube.com/results?search_query=Russian%20dip%20tutorial" TargetMode="External"/><Relationship Id="rId376" Type="http://schemas.openxmlformats.org/officeDocument/2006/relationships/hyperlink" Target="https://www.google.com/search?tbm=isch&amp;q=Russian%20dip%20exercise%20gif" TargetMode="External"/><Relationship Id="rId377" Type="http://schemas.openxmlformats.org/officeDocument/2006/relationships/hyperlink" Target="https://www.youtube.com/results?search_query=Straight%20bar%20dip%20tutorial" TargetMode="External"/><Relationship Id="rId378" Type="http://schemas.openxmlformats.org/officeDocument/2006/relationships/hyperlink" Target="https://www.google.com/search?tbm=isch&amp;q=Straight%20bar%20dip%20exercise%20gif" TargetMode="External"/><Relationship Id="rId379" Type="http://schemas.openxmlformats.org/officeDocument/2006/relationships/hyperlink" Target="https://www.youtube.com/results?search_query=Russian%20dip%20tutorial" TargetMode="External"/><Relationship Id="rId380" Type="http://schemas.openxmlformats.org/officeDocument/2006/relationships/hyperlink" Target="https://www.google.com/search?tbm=isch&amp;q=Russian%20dip%20exercise%20gif" TargetMode="External"/><Relationship Id="rId381" Type="http://schemas.openxmlformats.org/officeDocument/2006/relationships/hyperlink" Target="https://www.youtube.com/results?search_query=Banded%20muscle-up%20transition%20tutorial" TargetMode="External"/><Relationship Id="rId382" Type="http://schemas.openxmlformats.org/officeDocument/2006/relationships/hyperlink" Target="https://www.google.com/search?tbm=isch&amp;q=Banded%20muscle-up%20transition%20exercise%20gif" TargetMode="External"/><Relationship Id="rId383" Type="http://schemas.openxmlformats.org/officeDocument/2006/relationships/hyperlink" Target="https://www.youtube.com/results?search_query=Vertical%20shake%20tutorial" TargetMode="External"/><Relationship Id="rId384" Type="http://schemas.openxmlformats.org/officeDocument/2006/relationships/hyperlink" Target="https://www.google.com/search?tbm=isch&amp;q=Vertical%20shake%20exercise%20gif" TargetMode="External"/><Relationship Id="rId385" Type="http://schemas.openxmlformats.org/officeDocument/2006/relationships/hyperlink" Target="https://www.youtube.com/results?search_query=Straightjacket%20lying%20shake%20tutorial" TargetMode="External"/><Relationship Id="rId386" Type="http://schemas.openxmlformats.org/officeDocument/2006/relationships/hyperlink" Target="https://www.google.com/search?tbm=isch&amp;q=Straightjacket%20lying%20shake%20exercise%20gif" TargetMode="External"/><Relationship Id="rId387" Type="http://schemas.openxmlformats.org/officeDocument/2006/relationships/hyperlink" Target="https://www.youtube.com/results?search_query=Body%20tapping%20%2F%20percussion%20tutorial" TargetMode="External"/><Relationship Id="rId388" Type="http://schemas.openxmlformats.org/officeDocument/2006/relationships/hyperlink" Target="https://www.google.com/search?tbm=isch&amp;q=Body%20tapping%20%2F%20percussion%20exercise%20gif" TargetMode="External"/><Relationship Id="rId389" Type="http://schemas.openxmlformats.org/officeDocument/2006/relationships/hyperlink" Target="https://www.youtube.com/results?search_query=Pandiculation%20sequence%20tutorial" TargetMode="External"/><Relationship Id="rId390" Type="http://schemas.openxmlformats.org/officeDocument/2006/relationships/hyperlink" Target="https://www.google.com/search?tbm=isch&amp;q=Pandiculation%20sequence%20exercise%20gif" TargetMode="External"/><Relationship Id="rId391" Type="http://schemas.openxmlformats.org/officeDocument/2006/relationships/hyperlink" Target="https://www.youtube.com/results?search_query=Feldenkrais%20floor%20sequence%20tutorial" TargetMode="External"/><Relationship Id="rId392" Type="http://schemas.openxmlformats.org/officeDocument/2006/relationships/hyperlink" Target="https://www.google.com/search?tbm=isch&amp;q=Feldenkrais%20floor%20sequence%20exercise%20gif" TargetMode="External"/><Relationship Id="rId393" Type="http://schemas.openxmlformats.org/officeDocument/2006/relationships/hyperlink" Target="https://www.youtube.com/results?search_query=Spinal%20waves%20&#8212;%20standing%20tutorial" TargetMode="External"/><Relationship Id="rId394" Type="http://schemas.openxmlformats.org/officeDocument/2006/relationships/hyperlink" Target="https://www.google.com/search?tbm=isch&amp;q=Spinal%20waves%20&#8212;%20standing%20exercise%20gif" TargetMode="External"/><Relationship Id="rId395" Type="http://schemas.openxmlformats.org/officeDocument/2006/relationships/hyperlink" Target="https://www.youtube.com/results?search_query=Spinal%20waves%20&#8212;%20floor%20tutorial" TargetMode="External"/><Relationship Id="rId396" Type="http://schemas.openxmlformats.org/officeDocument/2006/relationships/hyperlink" Target="https://www.google.com/search?tbm=isch&amp;q=Spinal%20waves%20&#8212;%20floor%20exercise%20gif" TargetMode="External"/><Relationship Id="rId397" Type="http://schemas.openxmlformats.org/officeDocument/2006/relationships/hyperlink" Target="https://www.youtube.com/results?search_query=Cobra%20pose%20tutorial" TargetMode="External"/><Relationship Id="rId398" Type="http://schemas.openxmlformats.org/officeDocument/2006/relationships/hyperlink" Target="https://www.google.com/search?tbm=isch&amp;q=Cobra%20pose%20exercise%20gif" TargetMode="External"/><Relationship Id="rId399" Type="http://schemas.openxmlformats.org/officeDocument/2006/relationships/hyperlink" Target="https://www.youtube.com/results?search_query=Fish%20pose%20tutorial" TargetMode="External"/><Relationship Id="rId400" Type="http://schemas.openxmlformats.org/officeDocument/2006/relationships/hyperlink" Target="https://www.google.com/search?tbm=isch&amp;q=Fish%20pose%20exercise%20gif" TargetMode="External"/><Relationship Id="rId401" Type="http://schemas.openxmlformats.org/officeDocument/2006/relationships/hyperlink" Target="https://www.youtube.com/results?search_query=Eagle%20pose%20tutorial" TargetMode="External"/><Relationship Id="rId402" Type="http://schemas.openxmlformats.org/officeDocument/2006/relationships/hyperlink" Target="https://www.google.com/search?tbm=isch&amp;q=Eagle%20pose%20exercise%20gif" TargetMode="External"/><Relationship Id="rId403" Type="http://schemas.openxmlformats.org/officeDocument/2006/relationships/hyperlink" Target="https://www.youtube.com/results?search_query=Sun%20Salutation%20A%20tutorial" TargetMode="External"/><Relationship Id="rId404" Type="http://schemas.openxmlformats.org/officeDocument/2006/relationships/hyperlink" Target="https://www.google.com/search?tbm=isch&amp;q=Sun%20Salutation%20A%20exercise%20gif" TargetMode="External"/><Relationship Id="rId405" Type="http://schemas.openxmlformats.org/officeDocument/2006/relationships/hyperlink" Target="https://www.youtube.com/results?search_query=Garland%20pose%20(Malasana)%20tutorial" TargetMode="External"/><Relationship Id="rId406" Type="http://schemas.openxmlformats.org/officeDocument/2006/relationships/hyperlink" Target="https://www.google.com/search?tbm=isch&amp;q=Garland%20pose%20(Malasana)%20exercise%20gif" TargetMode="External"/><Relationship Id="rId407" Type="http://schemas.openxmlformats.org/officeDocument/2006/relationships/hyperlink" Target="https://www.youtube.com/results?search_query=Lizard%20pose%20tutorial" TargetMode="External"/><Relationship Id="rId408" Type="http://schemas.openxmlformats.org/officeDocument/2006/relationships/hyperlink" Target="https://www.google.com/search?tbm=isch&amp;q=Lizard%20pose%20exercise%20gif" TargetMode="External"/><Relationship Id="rId409" Type="http://schemas.openxmlformats.org/officeDocument/2006/relationships/hyperlink" Target="https://www.youtube.com/results?search_query=Cow%20face%20pose%20tutorial" TargetMode="External"/><Relationship Id="rId410" Type="http://schemas.openxmlformats.org/officeDocument/2006/relationships/hyperlink" Target="https://www.google.com/search?tbm=isch&amp;q=Cow%20face%20pose%20exercise%20gif" TargetMode="External"/><Relationship Id="rId411" Type="http://schemas.openxmlformats.org/officeDocument/2006/relationships/hyperlink" Target="https://www.youtube.com/results?search_query=Butterfly%20%2F%20bound%20angle%20tutorial" TargetMode="External"/><Relationship Id="rId412" Type="http://schemas.openxmlformats.org/officeDocument/2006/relationships/hyperlink" Target="https://www.google.com/search?tbm=isch&amp;q=Butterfly%20%2F%20bound%20angle%20exercise%20gif" TargetMode="External"/><Relationship Id="rId413" Type="http://schemas.openxmlformats.org/officeDocument/2006/relationships/hyperlink" Target="https://www.youtube.com/results?search_query=Supine%20figure-4%20stretch%20tutorial" TargetMode="External"/><Relationship Id="rId414" Type="http://schemas.openxmlformats.org/officeDocument/2006/relationships/hyperlink" Target="https://www.google.com/search?tbm=isch&amp;q=Supine%20figure-4%20stretch%20exercise%20gif" TargetMode="External"/><Relationship Id="rId415" Type="http://schemas.openxmlformats.org/officeDocument/2006/relationships/hyperlink" Target="https://www.youtube.com/results?search_query=Sphinx%20pose%20tutorial" TargetMode="External"/><Relationship Id="rId416" Type="http://schemas.openxmlformats.org/officeDocument/2006/relationships/hyperlink" Target="https://www.google.com/search?tbm=isch&amp;q=Sphinx%20pose%20exercise%20gif" TargetMode="External"/><Relationship Id="rId417" Type="http://schemas.openxmlformats.org/officeDocument/2006/relationships/hyperlink" Target="https://www.youtube.com/results?search_query=Thread%20the%20needle%20tutorial" TargetMode="External"/><Relationship Id="rId418" Type="http://schemas.openxmlformats.org/officeDocument/2006/relationships/hyperlink" Target="https://www.google.com/search?tbm=isch&amp;q=Thread%20the%20needle%20exercise%20gif" TargetMode="External"/><Relationship Id="rId419" Type="http://schemas.openxmlformats.org/officeDocument/2006/relationships/hyperlink" Target="https://www.youtube.com/results?search_query=Happy%20baby%20pose%20tutorial" TargetMode="External"/><Relationship Id="rId420" Type="http://schemas.openxmlformats.org/officeDocument/2006/relationships/hyperlink" Target="https://www.google.com/search?tbm=isch&amp;q=Happy%20baby%20pose%20exercise%20gif" TargetMode="External"/><Relationship Id="rId421" Type="http://schemas.openxmlformats.org/officeDocument/2006/relationships/hyperlink" Target="https://www.youtube.com/results?search_query=Savasana%20tutorial" TargetMode="External"/><Relationship Id="rId422" Type="http://schemas.openxmlformats.org/officeDocument/2006/relationships/hyperlink" Target="https://www.google.com/search?tbm=isch&amp;q=Savasana%20exercise%20gif" TargetMode="External"/><Relationship Id="rId423" Type="http://schemas.openxmlformats.org/officeDocument/2006/relationships/hyperlink" Target="https://www.youtube.com/results?search_query=Head-to-knee%20pose%20tutorial" TargetMode="External"/><Relationship Id="rId424" Type="http://schemas.openxmlformats.org/officeDocument/2006/relationships/hyperlink" Target="https://www.google.com/search?tbm=isch&amp;q=Head-to-knee%20pose%20exercise%20gif" TargetMode="External"/><Relationship Id="rId425" Type="http://schemas.openxmlformats.org/officeDocument/2006/relationships/hyperlink" Target="https://www.youtube.com/results?search_query=Seated%20spinal%20twist%20tutorial" TargetMode="External"/><Relationship Id="rId426" Type="http://schemas.openxmlformats.org/officeDocument/2006/relationships/hyperlink" Target="https://www.google.com/search?tbm=isch&amp;q=Seated%20spinal%20twist%20exercise%20gif" TargetMode="External"/><Relationship Id="rId427" Type="http://schemas.openxmlformats.org/officeDocument/2006/relationships/hyperlink" Target="https://www.youtube.com/watch?v=HGMOHygNNmg" TargetMode="External"/><Relationship Id="rId428" Type="http://schemas.openxmlformats.org/officeDocument/2006/relationships/hyperlink" Target="https://www.google.com/search?tbm=isch&amp;q=Switch%20grip%20hanging%20routine%20(beginner)%20exercise%20gif" TargetMode="External"/><Relationship Id="rId429" Type="http://schemas.openxmlformats.org/officeDocument/2006/relationships/hyperlink" Target="https://www.youtube.com/watch?v=TNT51BMAR-Y" TargetMode="External"/><Relationship Id="rId430" Type="http://schemas.openxmlformats.org/officeDocument/2006/relationships/hyperlink" Target="https://www.google.com/search?tbm=isch&amp;q=One%20arm%20passive%20hang%20exercise%20gif" TargetMode="External"/><Relationship Id="rId431" Type="http://schemas.openxmlformats.org/officeDocument/2006/relationships/hyperlink" Target="https://www.youtube.com/watch?v=ekZmL4LVkvA" TargetMode="External"/><Relationship Id="rId432" Type="http://schemas.openxmlformats.org/officeDocument/2006/relationships/hyperlink" Target="https://www.google.com/search?tbm=isch&amp;q=One%20arm%20active%20hang%20exercise%20gif" TargetMode="External"/><Relationship Id="rId433" Type="http://schemas.openxmlformats.org/officeDocument/2006/relationships/hyperlink" Target="https://www.youtube.com/watch?v=ReLF790cEjA" TargetMode="External"/><Relationship Id="rId434" Type="http://schemas.openxmlformats.org/officeDocument/2006/relationships/hyperlink" Target="https://www.google.com/search?tbm=isch&amp;q=The%20ape%20swing%20(figure%20%228%22)%20exercise%20gif" TargetMode="External"/><Relationship Id="rId435" Type="http://schemas.openxmlformats.org/officeDocument/2006/relationships/hyperlink" Target="https://www.youtube.com/watch?v=NQgD_GLkoyg" TargetMode="External"/><Relationship Id="rId436" Type="http://schemas.openxmlformats.org/officeDocument/2006/relationships/hyperlink" Target="https://www.google.com/search?tbm=isch&amp;q=Front%20stationary%20swing%20exercise%20gif" TargetMode="External"/><Relationship Id="rId437" Type="http://schemas.openxmlformats.org/officeDocument/2006/relationships/hyperlink" Target="https://www.youtube.com/watch?v=C8KnSdgJ6Cc" TargetMode="External"/><Relationship Id="rId438" Type="http://schemas.openxmlformats.org/officeDocument/2006/relationships/hyperlink" Target="https://www.google.com/search?tbm=isch&amp;q=Side%20to%20side%20stationary%20swing%20exercise%20gif" TargetMode="External"/><Relationship Id="rId439" Type="http://schemas.openxmlformats.org/officeDocument/2006/relationships/hyperlink" Target="https://www.youtube.com/watch?v=lbozu0DPcYI" TargetMode="External"/><Relationship Id="rId440" Type="http://schemas.openxmlformats.org/officeDocument/2006/relationships/hyperlink" Target="https://www.google.com/search?tbm=isch&amp;q=Ido&apos;s%20squat%20routine%202.0%20exercise%20gif" TargetMode="External"/><Relationship Id="rId441" Type="http://schemas.openxmlformats.org/officeDocument/2006/relationships/hyperlink" Target="https://www.youtube.com/watch?v=v8iHrX94ONM" TargetMode="External"/><Relationship Id="rId442" Type="http://schemas.openxmlformats.org/officeDocument/2006/relationships/hyperlink" Target="https://www.google.com/search?tbm=isch&amp;q=Low%20bridge%20rotations%20exercise%20gif" TargetMode="External"/><Relationship Id="rId443" Type="http://schemas.openxmlformats.org/officeDocument/2006/relationships/hyperlink" Target="https://www.youtube.com/watch?v=y4Wo095zPnc" TargetMode="External"/><Relationship Id="rId444" Type="http://schemas.openxmlformats.org/officeDocument/2006/relationships/hyperlink" Target="https://www.google.com/search?tbm=isch&amp;q=Scapula%20mobilization%20routine%20exercise%20gif" TargetMode="External"/><Relationship Id="rId445" Type="http://schemas.openxmlformats.org/officeDocument/2006/relationships/hyperlink" Target="https://www.youtube.com/results?search_query=Copenhagen%20plank%20tutorial" TargetMode="External"/><Relationship Id="rId446" Type="http://schemas.openxmlformats.org/officeDocument/2006/relationships/hyperlink" Target="https://www.google.com/search?tbm=isch&amp;q=Copenhagen%20plank%20exercise%20gif" TargetMode="External"/><Relationship Id="rId447" Type="http://schemas.openxmlformats.org/officeDocument/2006/relationships/hyperlink" Target="https://www.youtube.com/results?search_query=Animal%20&#8212;%20lizard%20crawl%20tutorial" TargetMode="External"/><Relationship Id="rId448" Type="http://schemas.openxmlformats.org/officeDocument/2006/relationships/hyperlink" Target="https://www.google.com/search?tbm=isch&amp;q=Animal%20&#8212;%20lizard%20crawl%20exercise%20gif" TargetMode="External"/><Relationship Id="rId449" Type="http://schemas.openxmlformats.org/officeDocument/2006/relationships/hyperlink" Target="https://www.youtube.com/results?search_query=Animal%20&#8212;%20frog%20hop%20tutorial" TargetMode="External"/><Relationship Id="rId450" Type="http://schemas.openxmlformats.org/officeDocument/2006/relationships/hyperlink" Target="https://www.google.com/search?tbm=isch&amp;q=Animal%20&#8212;%20frog%20hop%20exercise%20gif" TargetMode="External"/><Relationship Id="rId451" Type="http://schemas.openxmlformats.org/officeDocument/2006/relationships/hyperlink" Target="https://www.youtube.com/results?search_query=Animal%20&#8212;%20scorpion%20walk%20tutorial" TargetMode="External"/><Relationship Id="rId452" Type="http://schemas.openxmlformats.org/officeDocument/2006/relationships/hyperlink" Target="https://www.google.com/search?tbm=isch&amp;q=Animal%20&#8212;%20scorpion%20walk%20exercise%20gif" TargetMode="External"/><Relationship Id="rId453" Type="http://schemas.openxmlformats.org/officeDocument/2006/relationships/hyperlink" Target="https://www.youtube.com/results?search_query=Animal%20&#8212;%20seal%20drag%20tutorial" TargetMode="External"/><Relationship Id="rId454" Type="http://schemas.openxmlformats.org/officeDocument/2006/relationships/hyperlink" Target="https://www.google.com/search?tbm=isch&amp;q=Animal%20&#8212;%20seal%20drag%20exercise%20gif" TargetMode="External"/><Relationship Id="rId455" Type="http://schemas.openxmlformats.org/officeDocument/2006/relationships/hyperlink" Target="https://www.youtube.com/results?search_query=Balance%20board%20tutorial" TargetMode="External"/><Relationship Id="rId456" Type="http://schemas.openxmlformats.org/officeDocument/2006/relationships/hyperlink" Target="https://www.google.com/search?tbm=isch&amp;q=Balance%20board%20exercise%20gif" TargetMode="External"/><Relationship Id="rId457" Type="http://schemas.openxmlformats.org/officeDocument/2006/relationships/hyperlink" Target="https://www.youtube.com/results?search_query=Balance%20board%20&#8212;%20single%20leg%20tutorial" TargetMode="External"/><Relationship Id="rId458" Type="http://schemas.openxmlformats.org/officeDocument/2006/relationships/hyperlink" Target="https://www.google.com/search?tbm=isch&amp;q=Balance%20board%20&#8212;%20single%20leg%20exercise%20gif" TargetMode="External"/><Relationship Id="rId459" Type="http://schemas.openxmlformats.org/officeDocument/2006/relationships/hyperlink" Target="https://www.youtube.com/results?search_query=Balance%20board%20&#8212;%20squat%20hold%20tutorial" TargetMode="External"/><Relationship Id="rId460" Type="http://schemas.openxmlformats.org/officeDocument/2006/relationships/hyperlink" Target="https://www.google.com/search?tbm=isch&amp;q=Balance%20board%20&#8212;%20squat%20hold%20exercise%20gif" TargetMode="External"/><Relationship Id="rId461" Type="http://schemas.openxmlformats.org/officeDocument/2006/relationships/hyperlink" Target="https://www.youtube.com/results?search_query=Neck%20CARs%20tutorial" TargetMode="External"/><Relationship Id="rId462" Type="http://schemas.openxmlformats.org/officeDocument/2006/relationships/hyperlink" Target="https://www.google.com/search?tbm=isch&amp;q=Neck%20CARs%20exercise%20gif" TargetMode="External"/><Relationship Id="rId463" Type="http://schemas.openxmlformats.org/officeDocument/2006/relationships/hyperlink" Target="https://www.youtube.com/results?search_query=Ground%20get-ups%20tutorial" TargetMode="External"/><Relationship Id="rId464" Type="http://schemas.openxmlformats.org/officeDocument/2006/relationships/hyperlink" Target="https://www.google.com/search?tbm=isch&amp;q=Ground%20get-ups%20exercise%20gif" TargetMode="External"/><Relationship Id="rId465" Type="http://schemas.openxmlformats.org/officeDocument/2006/relationships/hyperlink" Target="https://www.youtube.com/results?search_query=Ground%20flow%20&#8212;%20transitions%20tutorial" TargetMode="External"/><Relationship Id="rId466" Type="http://schemas.openxmlformats.org/officeDocument/2006/relationships/hyperlink" Target="https://www.google.com/search?tbm=isch&amp;q=Ground%20flow%20&#8212;%20transitions%20exercise%20gif" TargetMode="External"/><Relationship Id="rId467" Type="http://schemas.openxmlformats.org/officeDocument/2006/relationships/hyperlink" Target="https://www.youtube.com/results?search_query=Get-up%20&#8212;%20kick-through%20tutorial" TargetMode="External"/><Relationship Id="rId468" Type="http://schemas.openxmlformats.org/officeDocument/2006/relationships/hyperlink" Target="https://www.google.com/search?tbm=isch&amp;q=Get-up%20&#8212;%20kick-through%20exercise%20gif" TargetMode="External"/><Relationship Id="rId469" Type="http://schemas.openxmlformats.org/officeDocument/2006/relationships/hyperlink" Target="https://www.youtube.com/results?search_query=Get-up%20&#8212;%20backward%20roll%20to%20stand%20tutorial" TargetMode="External"/><Relationship Id="rId470" Type="http://schemas.openxmlformats.org/officeDocument/2006/relationships/hyperlink" Target="https://www.google.com/search?tbm=isch&amp;q=Get-up%20&#8212;%20backward%20roll%20to%20stand%20exercise%20gif" TargetMode="External"/><Relationship Id="rId471" Type="http://schemas.openxmlformats.org/officeDocument/2006/relationships/hyperlink" Target="https://www.youtube.com/results?search_query=Ground%20flow%20&#8212;%20sit-through%20tutorial" TargetMode="External"/><Relationship Id="rId472" Type="http://schemas.openxmlformats.org/officeDocument/2006/relationships/hyperlink" Target="https://www.google.com/search?tbm=isch&amp;q=Ground%20flow%20&#8212;%20sit-through%20exercise%20gif" TargetMode="External"/><Relationship Id="rId473" Type="http://schemas.openxmlformats.org/officeDocument/2006/relationships/hyperlink" Target="https://www.youtube.com/results?search_query=Ground%20flow%20&#8212;%20shoulder%20roll%20tutorial" TargetMode="External"/><Relationship Id="rId474" Type="http://schemas.openxmlformats.org/officeDocument/2006/relationships/hyperlink" Target="https://www.google.com/search?tbm=isch&amp;q=Ground%20flow%20&#8212;%20shoulder%20roll%20exercise%20gif" TargetMode="External"/><Relationship Id="rId475" Type="http://schemas.openxmlformats.org/officeDocument/2006/relationships/hyperlink" Target="https://www.youtube.com/results?search_query=Ground%20flow%20&#8212;%20scorpion%20reach%20tutorial" TargetMode="External"/><Relationship Id="rId476" Type="http://schemas.openxmlformats.org/officeDocument/2006/relationships/hyperlink" Target="https://www.google.com/search?tbm=isch&amp;q=Ground%20flow%20&#8212;%20scorpion%20reach%20exercise%20gif" TargetMode="External"/><Relationship Id="rId477" Type="http://schemas.openxmlformats.org/officeDocument/2006/relationships/hyperlink" Target="https://www.youtube.com/results?search_query=Tuck%20sit%20&#8212;%20lift%20feet%20tutorial" TargetMode="External"/><Relationship Id="rId478" Type="http://schemas.openxmlformats.org/officeDocument/2006/relationships/hyperlink" Target="https://www.google.com/search?tbm=isch&amp;q=Tuck%20sit%20&#8212;%20lift%20feet%20exercise%20gif" TargetMode="External"/><Relationship Id="rId479" Type="http://schemas.openxmlformats.org/officeDocument/2006/relationships/hyperlink" Target="https://www.youtube.com/results?search_query=Pike%20sit%20&#8212;%20freestanding%20compression%20tutorial" TargetMode="External"/><Relationship Id="rId480" Type="http://schemas.openxmlformats.org/officeDocument/2006/relationships/hyperlink" Target="https://www.google.com/search?tbm=isch&amp;q=Pike%20sit%20&#8212;%20freestanding%20compression%20exercise%20gif" TargetMode="External"/><Relationship Id="rId481" Type="http://schemas.openxmlformats.org/officeDocument/2006/relationships/hyperlink" Target="https://www.youtube.com/results?search_query=Straddle%20sit%20&#8212;%20leg%20circles%20tutorial" TargetMode="External"/><Relationship Id="rId482" Type="http://schemas.openxmlformats.org/officeDocument/2006/relationships/hyperlink" Target="https://www.google.com/search?tbm=isch&amp;q=Straddle%20sit%20&#8212;%20leg%20circles%20exercise%20gif" TargetMode="External"/><Relationship Id="rId483" Type="http://schemas.openxmlformats.org/officeDocument/2006/relationships/hyperlink" Target="https://www.youtube.com/results?search_query=Straddle%20sit%20&#8212;%20leg%20raises%20tutorial" TargetMode="External"/><Relationship Id="rId484" Type="http://schemas.openxmlformats.org/officeDocument/2006/relationships/hyperlink" Target="https://www.google.com/search?tbm=isch&amp;q=Straddle%20sit%20&#8212;%20leg%20raises%20exercise%20gif" TargetMode="External"/><Relationship Id="rId485" Type="http://schemas.openxmlformats.org/officeDocument/2006/relationships/hyperlink" Target="https://www.youtube.com/results?search_query=L-sit%20progression%20&#8212;%20floor%20tutorial" TargetMode="External"/><Relationship Id="rId486" Type="http://schemas.openxmlformats.org/officeDocument/2006/relationships/hyperlink" Target="https://www.google.com/search?tbm=isch&amp;q=L-sit%20progression%20&#8212;%20floor%20exercise%20gif" TargetMode="External"/><Relationship Id="rId487" Type="http://schemas.openxmlformats.org/officeDocument/2006/relationships/hyperlink" Target="https://www.youtube.com/results?search_query=Handstand%20&#8212;%20pike%20press%20entry%20tutorial" TargetMode="External"/><Relationship Id="rId488" Type="http://schemas.openxmlformats.org/officeDocument/2006/relationships/hyperlink" Target="https://www.google.com/search?tbm=isch&amp;q=Handstand%20&#8212;%20pike%20press%20entry%20exercise%20gif" TargetMode="External"/><Relationship Id="rId489" Type="http://schemas.openxmlformats.org/officeDocument/2006/relationships/hyperlink" Target="https://www.youtube.com/results?search_query=Handstand%20&#8212;%20tuck%20freestanding%20tutorial" TargetMode="External"/><Relationship Id="rId490" Type="http://schemas.openxmlformats.org/officeDocument/2006/relationships/hyperlink" Target="https://www.google.com/search?tbm=isch&amp;q=Handstand%20&#8212;%20tuck%20freestanding%20exercise%20gif" TargetMode="External"/><Relationship Id="rId491" Type="http://schemas.openxmlformats.org/officeDocument/2006/relationships/hyperlink" Target="https://www.youtube.com/results?search_query=One-arm%20hang%20progression%20tutorial" TargetMode="External"/><Relationship Id="rId492" Type="http://schemas.openxmlformats.org/officeDocument/2006/relationships/hyperlink" Target="https://www.google.com/search?tbm=isch&amp;q=One-arm%20hang%20progression%20exercise%20gif" TargetMode="External"/><Relationship Id="rId493" Type="http://schemas.openxmlformats.org/officeDocument/2006/relationships/hyperlink" Target="https://www.youtube.com/results?search_query=0&#8211;90%20hanging%20leg%20raise%20tutorial" TargetMode="External"/><Relationship Id="rId494" Type="http://schemas.openxmlformats.org/officeDocument/2006/relationships/hyperlink" Target="https://www.google.com/search?tbm=isch&amp;q=0&#8211;90%20hanging%20leg%20raise%20exercise%20gif" TargetMode="External"/><Relationship Id="rId495" Type="http://schemas.openxmlformats.org/officeDocument/2006/relationships/hyperlink" Target="https://www.youtube.com/results?search_query=One%20arm%20hanging%20leg%20raise%20tutorial" TargetMode="External"/><Relationship Id="rId496" Type="http://schemas.openxmlformats.org/officeDocument/2006/relationships/hyperlink" Target="https://www.google.com/search?tbm=isch&amp;q=One%20arm%20hanging%20leg%20raise%20exercise%20gif" TargetMode="External"/><Relationship Id="rId497" Type="http://schemas.openxmlformats.org/officeDocument/2006/relationships/hyperlink" Target="https://www.youtube.com/results?search_query=Forearm%20stand%20&#8212;%20wall%20tutorial" TargetMode="External"/><Relationship Id="rId498" Type="http://schemas.openxmlformats.org/officeDocument/2006/relationships/hyperlink" Target="https://www.google.com/search?tbm=isch&amp;q=Forearm%20stand%20&#8212;%20wall%20exercise%20gif" TargetMode="External"/><Relationship Id="rId499" Type="http://schemas.openxmlformats.org/officeDocument/2006/relationships/hyperlink" Target="https://www.youtube.com/results?search_query=Headstand%20&#8212;%20basic%20tutorial" TargetMode="External"/><Relationship Id="rId500" Type="http://schemas.openxmlformats.org/officeDocument/2006/relationships/hyperlink" Target="https://www.google.com/search?tbm=isch&amp;q=Headstand%20&#8212;%20basic%20exercise%20gif" TargetMode="External"/><Relationship Id="rId501" Type="http://schemas.openxmlformats.org/officeDocument/2006/relationships/hyperlink" Target="https://www.youtube.com/results?search_query=Single-leg%20stand%20&#8212;%20eyes%20closed%20tutorial" TargetMode="External"/><Relationship Id="rId502" Type="http://schemas.openxmlformats.org/officeDocument/2006/relationships/hyperlink" Target="https://www.google.com/search?tbm=isch&amp;q=Single-leg%20stand%20&#8212;%20eyes%20closed%20exercise%20gif" TargetMode="External"/><Relationship Id="rId503" Type="http://schemas.openxmlformats.org/officeDocument/2006/relationships/hyperlink" Target="https://www.youtube.com/results?search_query=Heel-to-toe%20line%20walk%20tutorial" TargetMode="External"/><Relationship Id="rId504" Type="http://schemas.openxmlformats.org/officeDocument/2006/relationships/hyperlink" Target="https://www.google.com/search?tbm=isch&amp;q=Heel-to-toe%20line%20walk%20exercise%20gif" TargetMode="External"/><Relationship Id="rId505" Type="http://schemas.openxmlformats.org/officeDocument/2006/relationships/hyperlink" Target="https://www.youtube.com/results?search_query=Single-leg%20stand%20&#8212;%20head%20turns%20tutorial" TargetMode="External"/><Relationship Id="rId506" Type="http://schemas.openxmlformats.org/officeDocument/2006/relationships/hyperlink" Target="https://www.google.com/search?tbm=isch&amp;q=Single-leg%20stand%20&#8212;%20head%20turns%20exercise%20gif" TargetMode="External"/><Relationship Id="rId507" Type="http://schemas.openxmlformats.org/officeDocument/2006/relationships/hyperlink" Target="https://www.youtube.com/results?search_query=Single-leg%20stand%20&#8212;%20ball%20pass-around%20tutorial" TargetMode="External"/><Relationship Id="rId508" Type="http://schemas.openxmlformats.org/officeDocument/2006/relationships/hyperlink" Target="https://www.google.com/search?tbm=isch&amp;q=Single-leg%20stand%20&#8212;%20ball%20pass-around%20exercise%20gif" TargetMode="External"/><Relationship Id="rId509" Type="http://schemas.openxmlformats.org/officeDocument/2006/relationships/hyperlink" Target="https://www.youtube.com/results?search_query=Rolling%20&#8212;%20forward%20tutorial" TargetMode="External"/><Relationship Id="rId510" Type="http://schemas.openxmlformats.org/officeDocument/2006/relationships/hyperlink" Target="https://www.google.com/search?tbm=isch&amp;q=Rolling%20&#8212;%20forward%20exercise%20gif" TargetMode="External"/><Relationship Id="rId511" Type="http://schemas.openxmlformats.org/officeDocument/2006/relationships/hyperlink" Target="https://www.youtube.com/results?search_query=Rolling%20&#8212;%20backward%20tutorial" TargetMode="External"/><Relationship Id="rId512" Type="http://schemas.openxmlformats.org/officeDocument/2006/relationships/hyperlink" Target="https://www.google.com/search?tbm=isch&amp;q=Rolling%20&#8212;%20backward%20exercise%20gif" TargetMode="External"/><Relationship Id="rId513" Type="http://schemas.openxmlformats.org/officeDocument/2006/relationships/hyperlink" Target="https://www.youtube.com/results?search_query=Rolling%20&#8212;%20side%20tutorial" TargetMode="External"/><Relationship Id="rId514" Type="http://schemas.openxmlformats.org/officeDocument/2006/relationships/hyperlink" Target="https://www.google.com/search?tbm=isch&amp;q=Rolling%20&#8212;%20side%20exercise%20gif" TargetMode="External"/><Relationship Id="rId515" Type="http://schemas.openxmlformats.org/officeDocument/2006/relationships/hyperlink" Target="https://www.youtube.com/results?search_query=Cartwheel%20tutorial" TargetMode="External"/><Relationship Id="rId516" Type="http://schemas.openxmlformats.org/officeDocument/2006/relationships/hyperlink" Target="https://www.google.com/search?tbm=isch&amp;q=Cartwheel%20exercise%20gif" TargetMode="External"/><Relationship Id="rId517" Type="http://schemas.openxmlformats.org/officeDocument/2006/relationships/hyperlink" Target="https://www.youtube.com/results?search_query=Interval%20cycling%20tutorial" TargetMode="External"/><Relationship Id="rId518" Type="http://schemas.openxmlformats.org/officeDocument/2006/relationships/hyperlink" Target="https://www.google.com/search?tbm=isch&amp;q=Interval%20cycling%20exercise%20gif" TargetMode="External"/><Relationship Id="rId519" Type="http://schemas.openxmlformats.org/officeDocument/2006/relationships/hyperlink" Target="https://www.youtube.com/results?search_query=Long%20run%20tutorial" TargetMode="External"/><Relationship Id="rId520" Type="http://schemas.openxmlformats.org/officeDocument/2006/relationships/hyperlink" Target="https://www.google.com/search?tbm=isch&amp;q=Long%20run%20exercise%20gif" TargetMode="External"/><Relationship Id="rId521" Type="http://schemas.openxmlformats.org/officeDocument/2006/relationships/hyperlink" Target="https://www.youtube.com/results?search_query=Side-lying%20hip%20%2F%20IT%20band%20stretch%20tutorial" TargetMode="External"/><Relationship Id="rId522" Type="http://schemas.openxmlformats.org/officeDocument/2006/relationships/hyperlink" Target="https://www.google.com/search?tbm=isch&amp;q=Side-lying%20hip%20%2F%20IT%20band%20stretch%20exercise%20gif" TargetMode="External"/><Relationship Id="rId523" Type="http://schemas.openxmlformats.org/officeDocument/2006/relationships/hyperlink" Target="https://www.youtube.com/results?search_query=Cross-leg%20side%20bend%20tutorial" TargetMode="External"/><Relationship Id="rId524" Type="http://schemas.openxmlformats.org/officeDocument/2006/relationships/hyperlink" Target="https://www.google.com/search?tbm=isch&amp;q=Cross-leg%20side%20bend%20exercise%20gif" TargetMode="External"/><Relationship Id="rId525" Type="http://schemas.openxmlformats.org/officeDocument/2006/relationships/hyperlink" Target="https://www.youtube.com/results?search_query=Horse%20stance%20hold%20tutorial" TargetMode="External"/><Relationship Id="rId526" Type="http://schemas.openxmlformats.org/officeDocument/2006/relationships/hyperlink" Target="https://www.google.com/search?tbm=isch&amp;q=Horse%20stance%20hold%20exercise%20gif" TargetMode="External"/><Relationship Id="rId527" Type="http://schemas.openxmlformats.org/officeDocument/2006/relationships/hyperlink" Target="https://www.youtube.com/results?search_query=Ankle%20plantarflexion%20stretch%20tutorial" TargetMode="External"/><Relationship Id="rId528" Type="http://schemas.openxmlformats.org/officeDocument/2006/relationships/hyperlink" Target="https://www.google.com/search?tbm=isch&amp;q=Ankle%20plantarflexion%20stretch%20exercise%20gif" TargetMode="External"/><Relationship Id="rId529" Type="http://schemas.openxmlformats.org/officeDocument/2006/relationships/hyperlink" Target="https://www.youtube.com/results?search_query=Standing%20calf%20stretch%20tutorial" TargetMode="External"/><Relationship Id="rId530" Type="http://schemas.openxmlformats.org/officeDocument/2006/relationships/hyperlink" Target="https://www.google.com/search?tbm=isch&amp;q=Standing%20calf%20stretch%20exercise%20gif" TargetMode="External"/><Relationship Id="rId531" Type="http://schemas.openxmlformats.org/officeDocument/2006/relationships/hyperlink" Target="https://www.youtube.com/results?search_query=Seated%20calf%20stretch%20tutorial" TargetMode="External"/><Relationship Id="rId532" Type="http://schemas.openxmlformats.org/officeDocument/2006/relationships/hyperlink" Target="https://www.google.com/search?tbm=isch&amp;q=Seated%20calf%20stretch%20exercise%20gif" TargetMode="External"/><Relationship Id="rId533" Type="http://schemas.openxmlformats.org/officeDocument/2006/relationships/hyperlink" Target="https://www.youtube.com/results?search_query=Supine%20chest%20opener%20tutorial" TargetMode="External"/><Relationship Id="rId534" Type="http://schemas.openxmlformats.org/officeDocument/2006/relationships/hyperlink" Target="https://www.google.com/search?tbm=isch&amp;q=Supine%20chest%20opener%20exercise%20gif" TargetMode="External"/><Relationship Id="rId535" Type="http://schemas.openxmlformats.org/officeDocument/2006/relationships/hyperlink" Target="https://www.youtube.com/results?search_query=Hands-clasped%20behind-back%20stretch%20tutorial" TargetMode="External"/><Relationship Id="rId536" Type="http://schemas.openxmlformats.org/officeDocument/2006/relationships/hyperlink" Target="https://www.google.com/search?tbm=isch&amp;q=Hands-clasped%20behind-back%20stretch%20exercise%20gif" TargetMode="External"/><Relationship Id="rId537" Type="http://schemas.openxmlformats.org/officeDocument/2006/relationships/hyperlink" Target="https://www.youtube.com/results?search_query=Arm%20circles%20&#8212;%20dynamic%20tutorial" TargetMode="External"/><Relationship Id="rId538" Type="http://schemas.openxmlformats.org/officeDocument/2006/relationships/hyperlink" Target="https://www.google.com/search?tbm=isch&amp;q=Arm%20circles%20&#8212;%20dynamic%20exercise%20gif" TargetMode="External"/><Relationship Id="rId539" Type="http://schemas.openxmlformats.org/officeDocument/2006/relationships/hyperlink" Target="https://www.youtube.com/results?search_query=Toe%20extension%20stretch%20tutorial" TargetMode="External"/><Relationship Id="rId540" Type="http://schemas.openxmlformats.org/officeDocument/2006/relationships/hyperlink" Target="https://www.google.com/search?tbm=isch&amp;q=Toe%20extension%20stretch%20exercise%20gif" TargetMode="External"/><Relationship Id="rId541" Type="http://schemas.openxmlformats.org/officeDocument/2006/relationships/hyperlink" Target="https://www.youtube.com/results?search_query=Toe%20sit%20stretch%20tutorial" TargetMode="External"/><Relationship Id="rId542" Type="http://schemas.openxmlformats.org/officeDocument/2006/relationships/hyperlink" Target="https://www.google.com/search?tbm=isch&amp;q=Toe%20sit%20stretch%20exercise%20gif" TargetMode="External"/><Relationship Id="rId543" Type="http://schemas.openxmlformats.org/officeDocument/2006/relationships/hyperlink" Target="https://www.youtube.com/results?search_query=Arch%20stretch%20tutorial" TargetMode="External"/><Relationship Id="rId544" Type="http://schemas.openxmlformats.org/officeDocument/2006/relationships/hyperlink" Target="https://www.google.com/search?tbm=isch&amp;q=Arch%20stretch%20exercise%20gif" TargetMode="External"/><Relationship Id="rId545" Type="http://schemas.openxmlformats.org/officeDocument/2006/relationships/hyperlink" Target="https://www.youtube.com/results?search_query=Supinator%20stretch%20tutorial" TargetMode="External"/><Relationship Id="rId546" Type="http://schemas.openxmlformats.org/officeDocument/2006/relationships/hyperlink" Target="https://www.google.com/search?tbm=isch&amp;q=Supinator%20stretch%20exercise%20gif" TargetMode="External"/><Relationship Id="rId547" Type="http://schemas.openxmlformats.org/officeDocument/2006/relationships/hyperlink" Target="https://www.youtube.com/results?search_query=Seated%20glute%20stretch%20tutorial" TargetMode="External"/><Relationship Id="rId548" Type="http://schemas.openxmlformats.org/officeDocument/2006/relationships/hyperlink" Target="https://www.google.com/search?tbm=isch&amp;q=Seated%20glute%20stretch%20exercise%20gif" TargetMode="External"/><Relationship Id="rId549" Type="http://schemas.openxmlformats.org/officeDocument/2006/relationships/hyperlink" Target="https://www.youtube.com/results?search_query=Knee-to-opposite-shoulder%20stretch%20tutorial" TargetMode="External"/><Relationship Id="rId550" Type="http://schemas.openxmlformats.org/officeDocument/2006/relationships/hyperlink" Target="https://www.google.com/search?tbm=isch&amp;q=Knee-to-opposite-shoulder%20stretch%20exercise%20gif" TargetMode="External"/><Relationship Id="rId551" Type="http://schemas.openxmlformats.org/officeDocument/2006/relationships/hyperlink" Target="https://www.youtube.com/results?search_query=Finger%20extension%20stretch%20tutorial" TargetMode="External"/><Relationship Id="rId552" Type="http://schemas.openxmlformats.org/officeDocument/2006/relationships/hyperlink" Target="https://www.google.com/search?tbm=isch&amp;q=Finger%20extension%20stretch%20exercise%20gif" TargetMode="External"/><Relationship Id="rId553" Type="http://schemas.openxmlformats.org/officeDocument/2006/relationships/hyperlink" Target="https://www.youtube.com/results?search_query=Standing%20back%20extension%20tutorial" TargetMode="External"/><Relationship Id="rId554" Type="http://schemas.openxmlformats.org/officeDocument/2006/relationships/hyperlink" Target="https://www.google.com/search?tbm=isch&amp;q=Standing%20back%20extension%20exercise%20gif" TargetMode="External"/><Relationship Id="rId555" Type="http://schemas.openxmlformats.org/officeDocument/2006/relationships/hyperlink" Target="https://www.youtube.com/results?search_query=Neck%20flexion%20stretch%20tutorial" TargetMode="External"/><Relationship Id="rId556" Type="http://schemas.openxmlformats.org/officeDocument/2006/relationships/hyperlink" Target="https://www.google.com/search?tbm=isch&amp;q=Neck%20flexion%20stretch%20exercise%20gif" TargetMode="External"/><Relationship Id="rId557" Type="http://schemas.openxmlformats.org/officeDocument/2006/relationships/hyperlink" Target="https://www.youtube.com/results?search_query=Neck%20extension%20stretch%20tutorial" TargetMode="External"/><Relationship Id="rId558" Type="http://schemas.openxmlformats.org/officeDocument/2006/relationships/hyperlink" Target="https://www.google.com/search?tbm=isch&amp;q=Neck%20extension%20stretch%20exercise%20gif" TargetMode="External"/><Relationship Id="rId559" Type="http://schemas.openxmlformats.org/officeDocument/2006/relationships/hyperlink" Target="https://www.youtube.com/results?search_query=Lateral%20neck%20stretch%20tutorial" TargetMode="External"/><Relationship Id="rId560" Type="http://schemas.openxmlformats.org/officeDocument/2006/relationships/hyperlink" Target="https://www.google.com/search?tbm=isch&amp;q=Lateral%20neck%20stretch%20exercise%20gif" TargetMode="External"/><Relationship Id="rId561" Type="http://schemas.openxmlformats.org/officeDocument/2006/relationships/hyperlink" Target="https://www.youtube.com/results?search_query=Neck%20rotation%20stretch%20tutorial" TargetMode="External"/><Relationship Id="rId562" Type="http://schemas.openxmlformats.org/officeDocument/2006/relationships/hyperlink" Target="https://www.google.com/search?tbm=isch&amp;q=Neck%20rotation%20stretch%20exercise%20gif" TargetMode="External"/><Relationship Id="rId563" Type="http://schemas.openxmlformats.org/officeDocument/2006/relationships/hyperlink" Target="https://www.youtube.com/results?search_query=Side-lying%20quad%20stretch%20tutorial" TargetMode="External"/><Relationship Id="rId564" Type="http://schemas.openxmlformats.org/officeDocument/2006/relationships/hyperlink" Target="https://www.google.com/search?tbm=isch&amp;q=Side-lying%20quad%20stretch%20exercise%20gif" TargetMode="External"/><Relationship Id="rId565" Type="http://schemas.openxmlformats.org/officeDocument/2006/relationships/hyperlink" Target="https://www.youtube.com/results?search_query=Foam%20rolling%20&#8212;%20adductors%20%2F%20inner%20thigh%20tutorial" TargetMode="External"/><Relationship Id="rId566" Type="http://schemas.openxmlformats.org/officeDocument/2006/relationships/hyperlink" Target="https://www.google.com/search?tbm=isch&amp;q=Foam%20rolling%20&#8212;%20adductors%20%2F%20inner%20thigh%20exercise%20gif" TargetMode="External"/><Relationship Id="rId567" Type="http://schemas.openxmlformats.org/officeDocument/2006/relationships/hyperlink" Target="https://www.youtube.com/results?search_query=Cross-body%20shoulder%20stretch%20tutorial" TargetMode="External"/><Relationship Id="rId568" Type="http://schemas.openxmlformats.org/officeDocument/2006/relationships/hyperlink" Target="https://www.google.com/search?tbm=isch&amp;q=Cross-body%20shoulder%20stretch%20exercise%20gif" TargetMode="External"/><Relationship Id="rId569" Type="http://schemas.openxmlformats.org/officeDocument/2006/relationships/hyperlink" Target="https://www.youtube.com/results?search_query=Overhead%20triceps%20stretch%20tutorial" TargetMode="External"/><Relationship Id="rId570" Type="http://schemas.openxmlformats.org/officeDocument/2006/relationships/hyperlink" Target="https://www.google.com/search?tbm=isch&amp;q=Overhead%20triceps%20stretch%20exercise%20gif" TargetMode="External"/><Relationship Id="rId571" Type="http://schemas.openxmlformats.org/officeDocument/2006/relationships/hyperlink" Target="https://www.youtube.com/results?search_query=Shoulder%20internal%20rotation%20stretch%20tutorial" TargetMode="External"/><Relationship Id="rId572" Type="http://schemas.openxmlformats.org/officeDocument/2006/relationships/hyperlink" Target="https://www.google.com/search?tbm=isch&amp;q=Shoulder%20internal%20rotation%20stretch%20exercise%20gif" TargetMode="External"/><Relationship Id="rId573" Type="http://schemas.openxmlformats.org/officeDocument/2006/relationships/hyperlink" Target="https://www.youtube.com/results?search_query=Shoulder%20external%20rotation%20stretch%20tutorial" TargetMode="External"/><Relationship Id="rId574" Type="http://schemas.openxmlformats.org/officeDocument/2006/relationships/hyperlink" Target="https://www.google.com/search?tbm=isch&amp;q=Shoulder%20external%20rotation%20stretch%20exercise%20gif" TargetMode="External"/><Relationship Id="rId575" Type="http://schemas.openxmlformats.org/officeDocument/2006/relationships/hyperlink" Target="https://www.youtube.com/results?search_query=Front%20splits%20tutorial" TargetMode="External"/><Relationship Id="rId576" Type="http://schemas.openxmlformats.org/officeDocument/2006/relationships/hyperlink" Target="https://www.google.com/search?tbm=isch&amp;q=Front%20splits%20exercise%20gif" TargetMode="External"/><Relationship Id="rId577" Type="http://schemas.openxmlformats.org/officeDocument/2006/relationships/hyperlink" Target="https://www.youtube.com/results?search_query=Bridge%20push-up%20&#8212;%20basic%20tutorial" TargetMode="External"/><Relationship Id="rId578" Type="http://schemas.openxmlformats.org/officeDocument/2006/relationships/hyperlink" Target="https://www.google.com/search?tbm=isch&amp;q=Bridge%20push-up%20&#8212;%20basic%20exercise%20gif" TargetMode="External"/><Relationship Id="rId579" Type="http://schemas.openxmlformats.org/officeDocument/2006/relationships/hyperlink" Target="https://www.youtube.com/results?search_query=Wrist%20flexor%20stretch%20tutorial" TargetMode="External"/><Relationship Id="rId580" Type="http://schemas.openxmlformats.org/officeDocument/2006/relationships/hyperlink" Target="https://www.google.com/search?tbm=isch&amp;q=Wrist%20flexor%20stretch%20exercise%20gif" TargetMode="External"/><Relationship Id="rId581" Type="http://schemas.openxmlformats.org/officeDocument/2006/relationships/hyperlink" Target="https://www.youtube.com/results?search_query=Wrist%20extensor%20stretch%20tutorial" TargetMode="External"/><Relationship Id="rId582" Type="http://schemas.openxmlformats.org/officeDocument/2006/relationships/hyperlink" Target="https://www.google.com/search?tbm=isch&amp;q=Wrist%20extensor%20stretch%20exercise%20gif" TargetMode="External"/><Relationship Id="rId583" Type="http://schemas.openxmlformats.org/officeDocument/2006/relationships/hyperlink" Target="https://www.youtube.com/results?search_query=Pancake%20good%20morning%20tutorial" TargetMode="External"/><Relationship Id="rId584" Type="http://schemas.openxmlformats.org/officeDocument/2006/relationships/hyperlink" Target="https://www.google.com/search?tbm=isch&amp;q=Pancake%20good%20morning%20exercise%20gif" TargetMode="External"/><Relationship Id="rId585" Type="http://schemas.openxmlformats.org/officeDocument/2006/relationships/hyperlink" Target="https://www.youtube.com/results?search_query=Couch%20stretch%20&#8212;%20weighted%20tutorial" TargetMode="External"/><Relationship Id="rId586" Type="http://schemas.openxmlformats.org/officeDocument/2006/relationships/hyperlink" Target="https://www.google.com/search?tbm=isch&amp;q=Couch%20stretch%20&#8212;%20weighted%20exercise%20gif" TargetMode="External"/><Relationship Id="rId587" Type="http://schemas.openxmlformats.org/officeDocument/2006/relationships/hyperlink" Target="https://www.youtube.com/results?search_query=Kettlebell%20swing%20tutorial" TargetMode="External"/><Relationship Id="rId588" Type="http://schemas.openxmlformats.org/officeDocument/2006/relationships/hyperlink" Target="https://www.google.com/search?tbm=isch&amp;q=Kettlebell%20swing%20exercise%20gif" TargetMode="External"/><Relationship Id="rId589" Type="http://schemas.openxmlformats.org/officeDocument/2006/relationships/hyperlink" Target="https://www.youtube.com/results?search_query=Ring%20push-up%20tutorial" TargetMode="External"/><Relationship Id="rId590" Type="http://schemas.openxmlformats.org/officeDocument/2006/relationships/hyperlink" Target="https://www.google.com/search?tbm=isch&amp;q=Ring%20push-up%20exercise%20gif" TargetMode="External"/><Relationship Id="rId591" Type="http://schemas.openxmlformats.org/officeDocument/2006/relationships/hyperlink" Target="https://www.youtube.com/results?search_query=Walking%20lunge%20tutorial" TargetMode="External"/><Relationship Id="rId592" Type="http://schemas.openxmlformats.org/officeDocument/2006/relationships/hyperlink" Target="https://www.google.com/search?tbm=isch&amp;q=Walking%20lunge%20exercise%20gif" TargetMode="External"/><Relationship Id="rId593" Type="http://schemas.openxmlformats.org/officeDocument/2006/relationships/hyperlink" Target="https://www.youtube.com/results?search_query=Weighted%20crunch%20tutorial" TargetMode="External"/><Relationship Id="rId594" Type="http://schemas.openxmlformats.org/officeDocument/2006/relationships/hyperlink" Target="https://www.google.com/search?tbm=isch&amp;q=Weighted%20crunch%20exercise%20gif" TargetMode="External"/><Relationship Id="rId595" Type="http://schemas.openxmlformats.org/officeDocument/2006/relationships/hyperlink" Target="https://www.youtube.com/results?search_query=Cable%20twist%20down-to-up%20tutorial" TargetMode="External"/><Relationship Id="rId596" Type="http://schemas.openxmlformats.org/officeDocument/2006/relationships/hyperlink" Target="https://www.google.com/search?tbm=isch&amp;q=Cable%20twist%20down-to-up%20exercise%20gif" TargetMode="External"/><Relationship Id="rId597" Type="http://schemas.openxmlformats.org/officeDocument/2006/relationships/hyperlink" Target="https://www.youtube.com/results?search_query=Cossack%20squat%20tutorial" TargetMode="External"/><Relationship Id="rId598" Type="http://schemas.openxmlformats.org/officeDocument/2006/relationships/hyperlink" Target="https://www.google.com/search?tbm=isch&amp;q=Cossack%20squat%20exercise%20gif" TargetMode="External"/><Relationship Id="rId599" Type="http://schemas.openxmlformats.org/officeDocument/2006/relationships/hyperlink" Target="https://www.youtube.com/results?search_query=Jefferson%20curl%20tutorial" TargetMode="External"/><Relationship Id="rId600" Type="http://schemas.openxmlformats.org/officeDocument/2006/relationships/hyperlink" Target="https://www.google.com/search?tbm=isch&amp;q=Jefferson%20curl%20exercise%20gif" TargetMode="External"/><Relationship Id="rId601" Type="http://schemas.openxmlformats.org/officeDocument/2006/relationships/hyperlink" Target="https://www.youtube.com/results?search_query=Bulgarian%20split%20squat%20tutorial" TargetMode="External"/><Relationship Id="rId602" Type="http://schemas.openxmlformats.org/officeDocument/2006/relationships/hyperlink" Target="https://www.google.com/search?tbm=isch&amp;q=Bulgarian%20split%20squat%20exercise%20gif" TargetMode="External"/><Relationship Id="rId603" Type="http://schemas.openxmlformats.org/officeDocument/2006/relationships/hyperlink" Target="https://www.youtube.com/results?search_query=Single%20leg%20RDL%20tutorial" TargetMode="External"/><Relationship Id="rId604" Type="http://schemas.openxmlformats.org/officeDocument/2006/relationships/hyperlink" Target="https://www.google.com/search?tbm=isch&amp;q=Single%20leg%20RDL%20exercise%20gif" TargetMode="External"/><Relationship Id="rId605" Type="http://schemas.openxmlformats.org/officeDocument/2006/relationships/hyperlink" Target="https://www.youtube.com/results?search_query=Half%20kneeling%20shoulder%20press%20tutorial" TargetMode="External"/><Relationship Id="rId606" Type="http://schemas.openxmlformats.org/officeDocument/2006/relationships/hyperlink" Target="https://www.google.com/search?tbm=isch&amp;q=Half%20kneeling%20shoulder%20press%20exercise%20gif" TargetMode="External"/><Relationship Id="rId607" Type="http://schemas.openxmlformats.org/officeDocument/2006/relationships/hyperlink" Target="https://www.youtube.com/results?search_query=Pallof%20press%20tutorial" TargetMode="External"/><Relationship Id="rId608" Type="http://schemas.openxmlformats.org/officeDocument/2006/relationships/hyperlink" Target="https://www.google.com/search?tbm=isch&amp;q=Pallof%20press%20exercise%20gif" TargetMode="External"/><Relationship Id="rId609" Type="http://schemas.openxmlformats.org/officeDocument/2006/relationships/hyperlink" Target="https://www.youtube.com/results?search_query=Contact%20juggling%20&#8212;%20palm%20roll%20tutorial" TargetMode="External"/><Relationship Id="rId610" Type="http://schemas.openxmlformats.org/officeDocument/2006/relationships/hyperlink" Target="https://www.google.com/search?tbm=isch&amp;q=Contact%20juggling%20&#8212;%20palm%20roll%20exercise%20gif" TargetMode="External"/><Relationship Id="rId611" Type="http://schemas.openxmlformats.org/officeDocument/2006/relationships/hyperlink" Target="https://www.youtube.com/results?search_query=Indian%20clubs%20&#8212;%20basic%20swings%20tutorial" TargetMode="External"/><Relationship Id="rId612" Type="http://schemas.openxmlformats.org/officeDocument/2006/relationships/hyperlink" Target="https://www.google.com/search?tbm=isch&amp;q=Indian%20clubs%20&#8212;%20basic%20swings%20exercise%20gif" TargetMode="External"/><Relationship Id="rId613" Type="http://schemas.openxmlformats.org/officeDocument/2006/relationships/hyperlink" Target="https://www.youtube.com/results?search_query=Indian%20clubs%20&#8212;%20flows%20tutorial" TargetMode="External"/><Relationship Id="rId614" Type="http://schemas.openxmlformats.org/officeDocument/2006/relationships/hyperlink" Target="https://www.google.com/search?tbm=isch&amp;q=Indian%20clubs%20&#8212;%20flows%20exercise%20gif" TargetMode="External"/><Relationship Id="rId615" Type="http://schemas.openxmlformats.org/officeDocument/2006/relationships/hyperlink" Target="https://www.youtube.com/results?search_query=Juggling%20&#8212;%20shower%20tutorial" TargetMode="External"/><Relationship Id="rId616" Type="http://schemas.openxmlformats.org/officeDocument/2006/relationships/hyperlink" Target="https://www.google.com/search?tbm=isch&amp;q=Juggling%20&#8212;%20shower%20exercise%20gif" TargetMode="External"/><Relationship Id="rId617" Type="http://schemas.openxmlformats.org/officeDocument/2006/relationships/hyperlink" Target="https://www.youtube.com/results?search_query=Juggling%20&#8212;%20tennis%20tutorial" TargetMode="External"/><Relationship Id="rId618" Type="http://schemas.openxmlformats.org/officeDocument/2006/relationships/hyperlink" Target="https://www.google.com/search?tbm=isch&amp;q=Juggling%20&#8212;%20tennis%20exercise%20gif" TargetMode="External"/><Relationship Id="rId619" Type="http://schemas.openxmlformats.org/officeDocument/2006/relationships/hyperlink" Target="https://www.youtube.com/results?search_query=Juggling%20&#8212;%20Mills%20Mess%20tutorial" TargetMode="External"/><Relationship Id="rId620" Type="http://schemas.openxmlformats.org/officeDocument/2006/relationships/hyperlink" Target="https://www.google.com/search?tbm=isch&amp;q=Juggling%20&#8212;%20Mills%20Mess%20exercise%20gif" TargetMode="External"/><Relationship Id="rId621" Type="http://schemas.openxmlformats.org/officeDocument/2006/relationships/hyperlink" Target="https://www.youtube.com/results?search_query=Juggling%20&#8212;%20box%20tutorial" TargetMode="External"/><Relationship Id="rId622" Type="http://schemas.openxmlformats.org/officeDocument/2006/relationships/hyperlink" Target="https://www.google.com/search?tbm=isch&amp;q=Juggling%20&#8212;%20box%20exercise%20gif" TargetMode="External"/><Relationship Id="rId623" Type="http://schemas.openxmlformats.org/officeDocument/2006/relationships/hyperlink" Target="https://www.youtube.com/results?search_query=Juggling%20&#8212;%20windmill%20tutorial" TargetMode="External"/><Relationship Id="rId624" Type="http://schemas.openxmlformats.org/officeDocument/2006/relationships/hyperlink" Target="https://www.google.com/search?tbm=isch&amp;q=Juggling%20&#8212;%20windmill%20exercise%20gif" TargetMode="External"/><Relationship Id="rId625" Type="http://schemas.openxmlformats.org/officeDocument/2006/relationships/hyperlink" Target="https://www.youtube.com/results?search_query=Juggling%20&#8212;%20factory%20tutorial" TargetMode="External"/><Relationship Id="rId626" Type="http://schemas.openxmlformats.org/officeDocument/2006/relationships/hyperlink" Target="https://www.google.com/search?tbm=isch&amp;q=Juggling%20&#8212;%20factory%20exercise%20gif" TargetMode="External"/><Relationship Id="rId627" Type="http://schemas.openxmlformats.org/officeDocument/2006/relationships/hyperlink" Target="https://www.youtube.com/results?search_query=Juggling%20&#8212;%20441%20(siteswap)%20tutorial" TargetMode="External"/><Relationship Id="rId628" Type="http://schemas.openxmlformats.org/officeDocument/2006/relationships/hyperlink" Target="https://www.google.com/search?tbm=isch&amp;q=Juggling%20&#8212;%20441%20(siteswap)%20exercise%20gif" TargetMode="External"/><Relationship Id="rId629" Type="http://schemas.openxmlformats.org/officeDocument/2006/relationships/hyperlink" Target="https://www.youtube.com/results?search_query=Juggling%20&#8212;%20under%20the%20leg%20tutorial" TargetMode="External"/><Relationship Id="rId630" Type="http://schemas.openxmlformats.org/officeDocument/2006/relationships/hyperlink" Target="https://www.google.com/search?tbm=isch&amp;q=Juggling%20&#8212;%20under%20the%20leg%20exercise%20gif" TargetMode="External"/><Relationship Id="rId631" Type="http://schemas.openxmlformats.org/officeDocument/2006/relationships/hyperlink" Target="https://www.youtube.com/results?search_query=Football%20keepie-uppies%20tutorial" TargetMode="External"/><Relationship Id="rId632" Type="http://schemas.openxmlformats.org/officeDocument/2006/relationships/hyperlink" Target="https://www.google.com/search?tbm=isch&amp;q=Football%20keepie-uppies%20exercise%20gif" TargetMode="External"/><Relationship Id="rId633" Type="http://schemas.openxmlformats.org/officeDocument/2006/relationships/hyperlink" Target="https://www.youtube.com/results?search_query=Reaction%20ball%20-%20wall%20catches%20tutorial" TargetMode="External"/><Relationship Id="rId634" Type="http://schemas.openxmlformats.org/officeDocument/2006/relationships/hyperlink" Target="https://www.google.com/search?tbm=isch&amp;q=Reaction%20ball%20-%20wall%20catches%20exercise%20gif" TargetMode="External"/><Relationship Id="rId635" Type="http://schemas.openxmlformats.org/officeDocument/2006/relationships/hyperlink" Target="https://www.youtube.com/results?search_query=Two-ball%20wall%20alternating%20tutorial" TargetMode="External"/><Relationship Id="rId636" Type="http://schemas.openxmlformats.org/officeDocument/2006/relationships/hyperlink" Target="https://www.google.com/search?tbm=isch&amp;q=Two-ball%20wall%20alternating%20exercise%20gif" TargetMode="External"/><Relationship Id="rId637" Type="http://schemas.openxmlformats.org/officeDocument/2006/relationships/hyperlink" Target="https://www.youtube.com/results?search_query=Tennis%20ball%20drop-catch%20tutorial" TargetMode="External"/><Relationship Id="rId638" Type="http://schemas.openxmlformats.org/officeDocument/2006/relationships/hyperlink" Target="https://www.google.com/search?tbm=isch&amp;q=Tennis%20ball%20drop-catch%20exercise%20gif" TargetMode="External"/><Relationship Id="rId639" Type="http://schemas.openxmlformats.org/officeDocument/2006/relationships/hyperlink" Target="https://www.youtube.com/results?search_query=Stick%20grip%20types%20&#8212;%20pronated%20%2F%20supinated%20%2F%20eagle%20tutorial" TargetMode="External"/><Relationship Id="rId640" Type="http://schemas.openxmlformats.org/officeDocument/2006/relationships/hyperlink" Target="https://www.google.com/search?tbm=isch&amp;q=Stick%20grip%20types%20&#8212;%20pronated%20%2F%20supinated%20%2F%20eagle%20exercise%20gif" TargetMode="External"/><Relationship Id="rId641" Type="http://schemas.openxmlformats.org/officeDocument/2006/relationships/hyperlink" Target="https://www.youtube.com/results?search_query=Stick%20koan%20&#8212;%20hip%20pike%20slide%20tutorial" TargetMode="External"/><Relationship Id="rId642" Type="http://schemas.openxmlformats.org/officeDocument/2006/relationships/hyperlink" Target="https://www.google.com/search?tbm=isch&amp;q=Stick%20koan%20&#8212;%20hip%20pike%20slide%20exercise%20gif" TargetMode="External"/><Relationship Id="rId643" Type="http://schemas.openxmlformats.org/officeDocument/2006/relationships/hyperlink" Target="https://www.youtube.com/results?search_query=Stick%20koan%20&#8212;%20overhead%20%2F%20behind-back%20holds%20tutorial" TargetMode="External"/><Relationship Id="rId644" Type="http://schemas.openxmlformats.org/officeDocument/2006/relationships/hyperlink" Target="https://www.google.com/search?tbm=isch&amp;q=Stick%20koan%20&#8212;%20overhead%20%2F%20behind-back%20holds%20exercise%20gif" TargetMode="External"/><Relationship Id="rId645" Type="http://schemas.openxmlformats.org/officeDocument/2006/relationships/hyperlink" Target="https://www.youtube.com/results?search_query=Stick%20koan%20&#8212;%20fingertip%20step-over%20tutorial" TargetMode="External"/><Relationship Id="rId646" Type="http://schemas.openxmlformats.org/officeDocument/2006/relationships/hyperlink" Target="https://www.google.com/search?tbm=isch&amp;q=Stick%20koan%20&#8212;%20fingertip%20step-over%20exercise%20gif" TargetMode="External"/><Relationship Id="rId647" Type="http://schemas.openxmlformats.org/officeDocument/2006/relationships/hyperlink" Target="https://www.youtube.com/results?search_query=Stick%20koan%20&#8212;%20hop%20and%20jump%20over%20tutorial" TargetMode="External"/><Relationship Id="rId648" Type="http://schemas.openxmlformats.org/officeDocument/2006/relationships/hyperlink" Target="https://www.google.com/search?tbm=isch&amp;q=Stick%20koan%20&#8212;%20hop%20and%20jump%20over%20exercise%20gif" TargetMode="External"/><Relationship Id="rId649" Type="http://schemas.openxmlformats.org/officeDocument/2006/relationships/hyperlink" Target="https://www.youtube.com/results?search_query=Stick%20koan%20&#8212;%20seated%20hip-to-butt%20slide%20tutorial" TargetMode="External"/><Relationship Id="rId650" Type="http://schemas.openxmlformats.org/officeDocument/2006/relationships/hyperlink" Target="https://www.google.com/search?tbm=isch&amp;q=Stick%20koan%20&#8212;%20seated%20hip-to-butt%20slide%20exercise%20gif" TargetMode="External"/><Relationship Id="rId651" Type="http://schemas.openxmlformats.org/officeDocument/2006/relationships/hyperlink" Target="https://www.youtube.com/results?search_query=Stick%20koan%20&#8212;%20360&#176;%20body%20rotation%20tutorial" TargetMode="External"/><Relationship Id="rId652" Type="http://schemas.openxmlformats.org/officeDocument/2006/relationships/hyperlink" Target="https://www.google.com/search?tbm=isch&amp;q=Stick%20koan%20&#8212;%20360&#176;%20body%20rotation%20exercise%20gif" TargetMode="External"/><Relationship Id="rId653" Type="http://schemas.openxmlformats.org/officeDocument/2006/relationships/hyperlink" Target="https://www.youtube.com/results?search_query=Stick%20koan%20&#8212;%20two-stick%20tangle%20tutorial" TargetMode="External"/><Relationship Id="rId654" Type="http://schemas.openxmlformats.org/officeDocument/2006/relationships/hyperlink" Target="https://www.google.com/search?tbm=isch&amp;q=Stick%20koan%20&#8212;%20two-stick%20tangle%20exercise%20gif" TargetMode="External"/><Relationship Id="rId655" Type="http://schemas.openxmlformats.org/officeDocument/2006/relationships/hyperlink" Target="https://www.youtube.com/results?search_query=Stick%20koan%20&#8212;%20feet%20balance%20to%20prone%20transition%20tutorial" TargetMode="External"/><Relationship Id="rId656" Type="http://schemas.openxmlformats.org/officeDocument/2006/relationships/hyperlink" Target="https://www.google.com/search?tbm=isch&amp;q=Stick%20koan%20&#8212;%20feet%20balance%20to%20prone%20transition%20exercise%20gif" TargetMode="External"/><Relationship Id="rId657" Type="http://schemas.openxmlformats.org/officeDocument/2006/relationships/hyperlink" Target="https://www.youtube.com/results?search_query=Punch%20tennis%20ball%20vs%20wall%20tutorial" TargetMode="External"/><Relationship Id="rId658" Type="http://schemas.openxmlformats.org/officeDocument/2006/relationships/hyperlink" Target="https://www.google.com/search?tbm=isch&amp;q=Punch%20tennis%20ball%20vs%20wall%20exercise%20gif" TargetMode="External"/><Relationship Id="rId659" Type="http://schemas.openxmlformats.org/officeDocument/2006/relationships/hyperlink" Target="https://www.youtube.com/results?search_query=Floor%20tennis%20ball%20taps%20tutorial" TargetMode="External"/><Relationship Id="rId660" Type="http://schemas.openxmlformats.org/officeDocument/2006/relationships/hyperlink" Target="https://www.google.com/search?tbm=isch&amp;q=Floor%20tennis%20ball%20taps%20exercise%20gif" TargetMode="External"/><Relationship Id="rId661" Type="http://schemas.openxmlformats.org/officeDocument/2006/relationships/hyperlink" Target="https://www.youtube.com/results?search_query=Tennis%20ball%20wall%20dribble%20tutorial" TargetMode="External"/><Relationship Id="rId662" Type="http://schemas.openxmlformats.org/officeDocument/2006/relationships/hyperlink" Target="https://www.google.com/search?tbm=isch&amp;q=Tennis%20ball%20wall%20dribble%20exercise%20gif" TargetMode="External"/><Relationship Id="rId663" Type="http://schemas.openxmlformats.org/officeDocument/2006/relationships/hyperlink" Target="https://www.youtube.com/results?search_query=Vertical%20jump%20tutorial" TargetMode="External"/><Relationship Id="rId664" Type="http://schemas.openxmlformats.org/officeDocument/2006/relationships/hyperlink" Target="https://www.google.com/search?tbm=isch&amp;q=Vertical%20jump%20exercise%20gif" TargetMode="External"/><Relationship Id="rId665" Type="http://schemas.openxmlformats.org/officeDocument/2006/relationships/hyperlink" Target="https://www.youtube.com/results?search_query=Stair%20jump%20&#8212;%20bounding%20tutorial" TargetMode="External"/><Relationship Id="rId666" Type="http://schemas.openxmlformats.org/officeDocument/2006/relationships/hyperlink" Target="https://www.google.com/search?tbm=isch&amp;q=Stair%20jump%20&#8212;%20bounding%20exercise%20gif" TargetMode="External"/><Relationship Id="rId667" Type="http://schemas.openxmlformats.org/officeDocument/2006/relationships/hyperlink" Target="https://www.youtube.com/results?search_query=Depth%20jump%20tutorial" TargetMode="External"/><Relationship Id="rId668" Type="http://schemas.openxmlformats.org/officeDocument/2006/relationships/hyperlink" Target="https://www.google.com/search?tbm=isch&amp;q=Depth%20jump%20exercise%20gif" TargetMode="External"/><Relationship Id="rId669" Type="http://schemas.openxmlformats.org/officeDocument/2006/relationships/hyperlink" Target="https://www.youtube.com/results?search_query=Medicine%20ball%20rotational%20throw%20tutorial" TargetMode="External"/><Relationship Id="rId670" Type="http://schemas.openxmlformats.org/officeDocument/2006/relationships/hyperlink" Target="https://www.google.com/search?tbm=isch&amp;q=Medicine%20ball%20rotational%20throw%20exercise%20gif" TargetMode="External"/><Relationship Id="rId671" Type="http://schemas.openxmlformats.org/officeDocument/2006/relationships/hyperlink" Target="https://www.youtube.com/results?search_query=L-sit%20on%20rings%20tutorial" TargetMode="External"/><Relationship Id="rId672" Type="http://schemas.openxmlformats.org/officeDocument/2006/relationships/hyperlink" Target="https://www.google.com/search?tbm=isch&amp;q=L-sit%20on%20rings%20exercise%20gif" TargetMode="External"/><Relationship Id="rId673" Type="http://schemas.openxmlformats.org/officeDocument/2006/relationships/hyperlink" Target="https://www.youtube.com/results?search_query=Ring%20pull-up%20tutorial" TargetMode="External"/><Relationship Id="rId674" Type="http://schemas.openxmlformats.org/officeDocument/2006/relationships/hyperlink" Target="https://www.google.com/search?tbm=isch&amp;q=Ring%20pull-up%20exercise%20gif" TargetMode="External"/><Relationship Id="rId675" Type="http://schemas.openxmlformats.org/officeDocument/2006/relationships/hyperlink" Target="https://www.youtube.com/results?search_query=Skin%20the%20cat%20tutorial" TargetMode="External"/><Relationship Id="rId676" Type="http://schemas.openxmlformats.org/officeDocument/2006/relationships/hyperlink" Target="https://www.google.com/search?tbm=isch&amp;q=Skin%20the%20cat%20exercise%20gif" TargetMode="External"/><Relationship Id="rId677" Type="http://schemas.openxmlformats.org/officeDocument/2006/relationships/hyperlink" Target="https://www.youtube.com/results?search_query=Banded%20muscle-up%20transition%20tutorial" TargetMode="External"/><Relationship Id="rId678" Type="http://schemas.openxmlformats.org/officeDocument/2006/relationships/hyperlink" Target="https://www.google.com/search?tbm=isch&amp;q=Banded%20muscle-up%20transition%20exercise%20gif" TargetMode="External"/><Relationship Id="rId679" Type="http://schemas.openxmlformats.org/officeDocument/2006/relationships/hyperlink" Target="https://www.youtube.com/results?search_query=Neck%20glide%20isolation%20tutorial" TargetMode="External"/><Relationship Id="rId680" Type="http://schemas.openxmlformats.org/officeDocument/2006/relationships/hyperlink" Target="https://www.google.com/search?tbm=isch&amp;q=Neck%20glide%20isolation%20exercise%20gif" TargetMode="External"/><Relationship Id="rId681" Type="http://schemas.openxmlformats.org/officeDocument/2006/relationships/hyperlink" Target="https://www.youtube.com/results?search_query=Sternum%20glide%20isolation%20tutorial" TargetMode="External"/><Relationship Id="rId682" Type="http://schemas.openxmlformats.org/officeDocument/2006/relationships/hyperlink" Target="https://www.google.com/search?tbm=isch&amp;q=Sternum%20glide%20isolation%20exercise%20gif" TargetMode="External"/><Relationship Id="rId683" Type="http://schemas.openxmlformats.org/officeDocument/2006/relationships/hyperlink" Target="https://www.youtube.com/results?search_query=Mountain%20pose%20tutorial" TargetMode="External"/><Relationship Id="rId684" Type="http://schemas.openxmlformats.org/officeDocument/2006/relationships/hyperlink" Target="https://www.google.com/search?tbm=isch&amp;q=Mountain%20pose%20exercise%20gif" TargetMode="External"/><Relationship Id="rId685" Type="http://schemas.openxmlformats.org/officeDocument/2006/relationships/hyperlink" Target="https://www.youtube.com/results?search_query=Downward-facing%20dog%20tutorial" TargetMode="External"/><Relationship Id="rId686" Type="http://schemas.openxmlformats.org/officeDocument/2006/relationships/hyperlink" Target="https://www.google.com/search?tbm=isch&amp;q=Downward-facing%20dog%20exercise%20gif" TargetMode="External"/><Relationship Id="rId687" Type="http://schemas.openxmlformats.org/officeDocument/2006/relationships/hyperlink" Target="https://www.youtube.com/results?search_query=Upward-facing%20dog%20tutorial" TargetMode="External"/><Relationship Id="rId688" Type="http://schemas.openxmlformats.org/officeDocument/2006/relationships/hyperlink" Target="https://www.google.com/search?tbm=isch&amp;q=Upward-facing%20dog%20exercise%20gif" TargetMode="External"/><Relationship Id="rId689" Type="http://schemas.openxmlformats.org/officeDocument/2006/relationships/hyperlink" Target="https://www.youtube.com/results?search_query=Low%20lunge%20tutorial" TargetMode="External"/><Relationship Id="rId690" Type="http://schemas.openxmlformats.org/officeDocument/2006/relationships/hyperlink" Target="https://www.google.com/search?tbm=isch&amp;q=Low%20lunge%20exercise%20gif" TargetMode="External"/><Relationship Id="rId691" Type="http://schemas.openxmlformats.org/officeDocument/2006/relationships/hyperlink" Target="https://www.youtube.com/results?search_query=Warrior%20I%20tutorial" TargetMode="External"/><Relationship Id="rId692" Type="http://schemas.openxmlformats.org/officeDocument/2006/relationships/hyperlink" Target="https://www.google.com/search?tbm=isch&amp;q=Warrior%20I%20exercise%20gif" TargetMode="External"/><Relationship Id="rId693" Type="http://schemas.openxmlformats.org/officeDocument/2006/relationships/hyperlink" Target="https://www.youtube.com/results?search_query=Warrior%20II%20tutorial" TargetMode="External"/><Relationship Id="rId694" Type="http://schemas.openxmlformats.org/officeDocument/2006/relationships/hyperlink" Target="https://www.google.com/search?tbm=isch&amp;q=Warrior%20II%20exercise%20gif" TargetMode="External"/><Relationship Id="rId695" Type="http://schemas.openxmlformats.org/officeDocument/2006/relationships/hyperlink" Target="https://www.youtube.com/results?search_query=Extended%20side%20angle%20tutorial" TargetMode="External"/><Relationship Id="rId696" Type="http://schemas.openxmlformats.org/officeDocument/2006/relationships/hyperlink" Target="https://www.google.com/search?tbm=isch&amp;q=Extended%20side%20angle%20exercise%20gif" TargetMode="External"/><Relationship Id="rId697" Type="http://schemas.openxmlformats.org/officeDocument/2006/relationships/hyperlink" Target="https://www.youtube.com/results?search_query=Triangle%20pose%20tutorial" TargetMode="External"/><Relationship Id="rId698" Type="http://schemas.openxmlformats.org/officeDocument/2006/relationships/hyperlink" Target="https://www.google.com/search?tbm=isch&amp;q=Triangle%20pose%20exercise%20gif" TargetMode="External"/><Relationship Id="rId699" Type="http://schemas.openxmlformats.org/officeDocument/2006/relationships/hyperlink" Target="https://www.youtube.com/results?search_query=Standing%20forward%20fold%20tutorial" TargetMode="External"/><Relationship Id="rId700" Type="http://schemas.openxmlformats.org/officeDocument/2006/relationships/hyperlink" Target="https://www.google.com/search?tbm=isch&amp;q=Standing%20forward%20fold%20exercise%20gif" TargetMode="External"/><Relationship Id="rId701" Type="http://schemas.openxmlformats.org/officeDocument/2006/relationships/hyperlink" Target="https://www.youtube.com/results?search_query=Hero%20pose%20tutorial" TargetMode="External"/><Relationship Id="rId702" Type="http://schemas.openxmlformats.org/officeDocument/2006/relationships/hyperlink" Target="https://www.google.com/search?tbm=isch&amp;q=Hero%20pose%20exercise%20gif" TargetMode="External"/><Relationship Id="rId703" Type="http://schemas.openxmlformats.org/officeDocument/2006/relationships/hyperlink" Target="https://www.youtube.com/watch?v=kKVJuYVhL1U" TargetMode="External"/><Relationship Id="rId704" Type="http://schemas.openxmlformats.org/officeDocument/2006/relationships/hyperlink" Target="https://www.google.com/search?tbm=isch&amp;q=Frog%20stand%20exercise%20gif" TargetMode="External"/><Relationship Id="rId705" Type="http://schemas.openxmlformats.org/officeDocument/2006/relationships/hyperlink" Target="https://www.youtube.com/watch?v=paFCJKPElto" TargetMode="External"/><Relationship Id="rId706" Type="http://schemas.openxmlformats.org/officeDocument/2006/relationships/hyperlink" Target="https://www.google.com/search?tbm=isch&amp;q=Corta%20Capim%20exercise%20gif" TargetMode="External"/><Relationship Id="rId707" Type="http://schemas.openxmlformats.org/officeDocument/2006/relationships/hyperlink" Target="https://www.youtube.com/watch?v=b6F1plVRGSw" TargetMode="External"/><Relationship Id="rId708" Type="http://schemas.openxmlformats.org/officeDocument/2006/relationships/hyperlink" Target="https://www.google.com/search?tbm=isch&amp;q=Au%20Cortado%20exercise%20gif" TargetMode="External"/><Relationship Id="rId709" Type="http://schemas.openxmlformats.org/officeDocument/2006/relationships/hyperlink" Target="https://www.youtube.com/watch?v=P8kZlDX_gMY" TargetMode="External"/><Relationship Id="rId710" Type="http://schemas.openxmlformats.org/officeDocument/2006/relationships/hyperlink" Target="https://www.google.com/search?tbm=isch&amp;q=Role%20&#8594;%20Au%20Cortado%20exercise%20gif" TargetMode="External"/><Relationship Id="rId711" Type="http://schemas.openxmlformats.org/officeDocument/2006/relationships/hyperlink" Target="https://www.youtube.com/watch?v=wrWE6CCwOlw" TargetMode="External"/><Relationship Id="rId712" Type="http://schemas.openxmlformats.org/officeDocument/2006/relationships/hyperlink" Target="https://www.google.com/search?tbm=isch&amp;q=Half%20Au%20Cortado%20exercise%20gif" TargetMode="External"/><Relationship Id="rId713" Type="http://schemas.openxmlformats.org/officeDocument/2006/relationships/hyperlink" Target="https://www.youtube.com/watch?v=QzNBBu8U68U" TargetMode="External"/><Relationship Id="rId714" Type="http://schemas.openxmlformats.org/officeDocument/2006/relationships/hyperlink" Target="https://www.google.com/search?tbm=isch&amp;q=Reverse%20Corta%20Capim%20&#8594;%20Au%20Cortado%20exercise%20gif" TargetMode="External"/><Relationship Id="rId715" Type="http://schemas.openxmlformats.org/officeDocument/2006/relationships/hyperlink" Target="https://www.youtube.com/watch?v=dL2atsbe9dk" TargetMode="External"/><Relationship Id="rId716" Type="http://schemas.openxmlformats.org/officeDocument/2006/relationships/hyperlink" Target="https://www.google.com/search?tbm=isch&amp;q=QDR%20circles%20exercise%20gif" TargetMode="External"/><Relationship Id="rId717" Type="http://schemas.openxmlformats.org/officeDocument/2006/relationships/hyperlink" Target="https://www.youtube.com/watch?v=1KX_88bHuSA" TargetMode="External"/><Relationship Id="rId718" Type="http://schemas.openxmlformats.org/officeDocument/2006/relationships/hyperlink" Target="https://www.google.com/search?tbm=isch&amp;q=Roll%20into%20QDR%20rotational%20push-up%20exercise%20gif" TargetMode="External"/><Relationship Id="rId719" Type="http://schemas.openxmlformats.org/officeDocument/2006/relationships/hyperlink" Target="https://www.youtube.com/watch?v=sDD1P5rBuZQ" TargetMode="External"/><Relationship Id="rId720" Type="http://schemas.openxmlformats.org/officeDocument/2006/relationships/hyperlink" Target="https://www.google.com/search?tbm=isch&amp;q=The%20Centaur%20exercise%20gif" TargetMode="External"/><Relationship Id="rId721" Type="http://schemas.openxmlformats.org/officeDocument/2006/relationships/hyperlink" Target="https://www.youtube.com/watch?v=klcI1W6z15c" TargetMode="External"/><Relationship Id="rId722" Type="http://schemas.openxmlformats.org/officeDocument/2006/relationships/hyperlink" Target="https://www.google.com/search?tbm=isch&amp;q=Handstand%20blocks%20climbs%20exercise%20gif" TargetMode="External"/><Relationship Id="rId723" Type="http://schemas.openxmlformats.org/officeDocument/2006/relationships/hyperlink" Target="https://www.youtube.com/watch?v=eHc6VtpTtKY" TargetMode="External"/><Relationship Id="rId724" Type="http://schemas.openxmlformats.org/officeDocument/2006/relationships/hyperlink" Target="https://www.google.com/search?tbm=isch&amp;q=10%20min%20handstand%20taps%20exercise%20gif" TargetMode="External"/><Relationship Id="rId725" Type="http://schemas.openxmlformats.org/officeDocument/2006/relationships/hyperlink" Target="https://www.youtube.com/watch?v=_WsYQE3Yk1o" TargetMode="External"/><Relationship Id="rId726" Type="http://schemas.openxmlformats.org/officeDocument/2006/relationships/hyperlink" Target="https://www.google.com/search?tbm=isch&amp;q=Switch%20grip%20hanging%20routine%20(advanced)%20exercise%20gif" TargetMode="External"/><Relationship Id="rId727" Type="http://schemas.openxmlformats.org/officeDocument/2006/relationships/hyperlink" Target="https://www.youtube.com/watch?v=ser9v-XfQwE" TargetMode="External"/><Relationship Id="rId728" Type="http://schemas.openxmlformats.org/officeDocument/2006/relationships/hyperlink" Target="https://www.google.com/search?tbm=isch&amp;q=90&#8211;90%20iso%20pull-up%20hang%20exercise%20gif" TargetMode="External"/><Relationship Id="rId729" Type="http://schemas.openxmlformats.org/officeDocument/2006/relationships/hyperlink" Target="https://www.youtube.com/results?search_query=Press%20handstand%20prep%20&#8212;%20pike%20entry%20tutorial" TargetMode="External"/><Relationship Id="rId730" Type="http://schemas.openxmlformats.org/officeDocument/2006/relationships/hyperlink" Target="https://www.google.com/search?tbm=isch&amp;q=Press%20handstand%20prep%20&#8212;%20pike%20entry%20exercise%20gif" TargetMode="External"/><Relationship Id="rId731" Type="http://schemas.openxmlformats.org/officeDocument/2006/relationships/hyperlink" Target="https://www.youtube.com/results?search_query=Stalder%20press%20prep%20&#8212;%20straddle%20entry%20tutorial" TargetMode="External"/><Relationship Id="rId732" Type="http://schemas.openxmlformats.org/officeDocument/2006/relationships/hyperlink" Target="https://www.google.com/search?tbm=isch&amp;q=Stalder%20press%20prep%20&#8212;%20straddle%20entry%20exercise%20gif" TargetMode="External"/><Relationship Id="rId733" Type="http://schemas.openxmlformats.org/officeDocument/2006/relationships/hyperlink" Target="https://www.youtube.com/results?search_query=V-sit%20progression%20tutorial" TargetMode="External"/><Relationship Id="rId734" Type="http://schemas.openxmlformats.org/officeDocument/2006/relationships/hyperlink" Target="https://www.google.com/search?tbm=isch&amp;q=V-sit%20progression%20exercise%20gif" TargetMode="External"/><Relationship Id="rId735" Type="http://schemas.openxmlformats.org/officeDocument/2006/relationships/hyperlink" Target="https://www.youtube.com/results?search_query=Handstand%20&#8212;%20straddle%20freestanding%20tutorial" TargetMode="External"/><Relationship Id="rId736" Type="http://schemas.openxmlformats.org/officeDocument/2006/relationships/hyperlink" Target="https://www.google.com/search?tbm=isch&amp;q=Handstand%20&#8212;%20straddle%20freestanding%20exercise%20gif" TargetMode="External"/><Relationship Id="rId737" Type="http://schemas.openxmlformats.org/officeDocument/2006/relationships/hyperlink" Target="https://www.youtube.com/results?search_query=Handstand%20&#8212;%20straight%20body%20tutorial" TargetMode="External"/><Relationship Id="rId738" Type="http://schemas.openxmlformats.org/officeDocument/2006/relationships/hyperlink" Target="https://www.google.com/search?tbm=isch&amp;q=Handstand%20&#8212;%20straight%20body%20exercise%20gif" TargetMode="External"/><Relationship Id="rId739" Type="http://schemas.openxmlformats.org/officeDocument/2006/relationships/hyperlink" Target="https://www.youtube.com/results?search_query=Handstand%20&#8212;%20walking%20tutorial" TargetMode="External"/><Relationship Id="rId740" Type="http://schemas.openxmlformats.org/officeDocument/2006/relationships/hyperlink" Target="https://www.google.com/search?tbm=isch&amp;q=Handstand%20&#8212;%20walking%20exercise%20gif" TargetMode="External"/><Relationship Id="rId741" Type="http://schemas.openxmlformats.org/officeDocument/2006/relationships/hyperlink" Target="https://www.youtube.com/results?search_query=Thick%20grip%20OAC%20(one%20arm%20chin-up)%20tutorial" TargetMode="External"/><Relationship Id="rId742" Type="http://schemas.openxmlformats.org/officeDocument/2006/relationships/hyperlink" Target="https://www.google.com/search?tbm=isch&amp;q=Thick%20grip%20OAC%20(one%20arm%20chin-up)%20exercise%20gif" TargetMode="External"/><Relationship Id="rId743" Type="http://schemas.openxmlformats.org/officeDocument/2006/relationships/hyperlink" Target="https://www.youtube.com/results?search_query=Round-off%20tutorial" TargetMode="External"/><Relationship Id="rId744" Type="http://schemas.openxmlformats.org/officeDocument/2006/relationships/hyperlink" Target="https://www.google.com/search?tbm=isch&amp;q=Round-off%20exercise%20gif" TargetMode="External"/><Relationship Id="rId745" Type="http://schemas.openxmlformats.org/officeDocument/2006/relationships/hyperlink" Target="https://www.youtube.com/results?search_query=Back%20lever%20progressions%20tutorial" TargetMode="External"/><Relationship Id="rId746" Type="http://schemas.openxmlformats.org/officeDocument/2006/relationships/hyperlink" Target="https://www.google.com/search?tbm=isch&amp;q=Back%20lever%20progressions%20exercise%20gif" TargetMode="External"/><Relationship Id="rId747" Type="http://schemas.openxmlformats.org/officeDocument/2006/relationships/hyperlink" Target="https://www.youtube.com/results?search_query=Front%20lever%20progressions%20tutorial" TargetMode="External"/><Relationship Id="rId748" Type="http://schemas.openxmlformats.org/officeDocument/2006/relationships/hyperlink" Target="https://www.google.com/search?tbm=isch&amp;q=Front%20lever%20progressions%20exercise%20gif" TargetMode="External"/><Relationship Id="rId749" Type="http://schemas.openxmlformats.org/officeDocument/2006/relationships/hyperlink" Target="https://www.youtube.com/results?search_query=Archer%20ring%20pull-up%20tutorial" TargetMode="External"/><Relationship Id="rId750" Type="http://schemas.openxmlformats.org/officeDocument/2006/relationships/hyperlink" Target="https://www.google.com/search?tbm=isch&amp;q=Archer%20ring%20pull-up%20exercise%20gif" TargetMode="External"/><Relationship Id="rId751" Type="http://schemas.openxmlformats.org/officeDocument/2006/relationships/hyperlink" Target="https://www.youtube.com/results?search_query=Typewriter%20pull-up%20tutorial" TargetMode="External"/><Relationship Id="rId752" Type="http://schemas.openxmlformats.org/officeDocument/2006/relationships/hyperlink" Target="https://www.google.com/search?tbm=isch&amp;q=Typewriter%20pull-up%20exercise%20gif" TargetMode="External"/><Relationship Id="rId753" Type="http://schemas.openxmlformats.org/officeDocument/2006/relationships/hyperlink" Target="https://www.youtube.com/results?search_query=Muscle-up%20&#8212;%20kipping%20tutorial" TargetMode="External"/><Relationship Id="rId754" Type="http://schemas.openxmlformats.org/officeDocument/2006/relationships/hyperlink" Target="https://www.google.com/search?tbm=isch&amp;q=Muscle-up%20&#8212;%20kipping%20exercise%20gif" TargetMode="External"/><Relationship Id="rId755" Type="http://schemas.openxmlformats.org/officeDocument/2006/relationships/hyperlink" Target="https://www.youtube.com/results?search_query=Muscle-up%20&#8212;%20strict%20tutorial" TargetMode="External"/><Relationship Id="rId756" Type="http://schemas.openxmlformats.org/officeDocument/2006/relationships/hyperlink" Target="https://www.google.com/search?tbm=isch&amp;q=Muscle-up%20&#8212;%20strict%20exercise%20gif" TargetMode="External"/><Relationship Id="rId757" Type="http://schemas.openxmlformats.org/officeDocument/2006/relationships/hyperlink" Target="https://www.youtube.com/watch?v=Vw9O5wZnQfA" TargetMode="External"/><Relationship Id="rId758" Type="http://schemas.openxmlformats.org/officeDocument/2006/relationships/hyperlink" Target="https://www.google.com/search?tbm=isch&amp;q=Air%20baby%20exercise%20gif" TargetMode="External"/><Relationship Id="rId759" Type="http://schemas.openxmlformats.org/officeDocument/2006/relationships/hyperlink" Target="https://www.youtube.com/watch?v=VuIInXmhQzY" TargetMode="External"/><Relationship Id="rId760" Type="http://schemas.openxmlformats.org/officeDocument/2006/relationships/hyperlink" Target="https://www.google.com/search?tbm=isch&amp;q=Air%20baby%20extensions%20exercise%20gif" TargetMode="External"/><Relationship Id="rId761" Type="http://schemas.openxmlformats.org/officeDocument/2006/relationships/hyperlink" Target="https://www.youtube.com/watch?v=ej9WqabRAVk" TargetMode="External"/><Relationship Id="rId762" Type="http://schemas.openxmlformats.org/officeDocument/2006/relationships/hyperlink" Target="https://www.google.com/search?tbm=isch&amp;q=Corta%20Capim%20rotations%20&#8594;%20bridge%20rotation%20&#8594;%20QDR%20exit%20exercise%20gif" TargetMode="External"/><Relationship Id="rId763" Type="http://schemas.openxmlformats.org/officeDocument/2006/relationships/hyperlink" Target="https://www.youtube.com/watch?v=tCIqXm4BuCI" TargetMode="External"/><Relationship Id="rId764" Type="http://schemas.openxmlformats.org/officeDocument/2006/relationships/hyperlink" Target="https://www.google.com/search?tbm=isch&amp;q=Au%20Cortado%20presses%20exercise%20gif" TargetMode="External"/><Relationship Id="rId765" Type="http://schemas.openxmlformats.org/officeDocument/2006/relationships/hyperlink" Target="https://www.youtube.com/watch?v=5PVcIqRI0TM" TargetMode="External"/><Relationship Id="rId766" Type="http://schemas.openxmlformats.org/officeDocument/2006/relationships/hyperlink" Target="https://www.google.com/search?tbm=isch&amp;q=QDR%20rotational%20push-ups%20exercise%20gif" TargetMode="External"/><Relationship Id="rId767" Type="http://schemas.openxmlformats.org/officeDocument/2006/relationships/hyperlink" Target="https://www.youtube.com/watch?v=_J6OTWeR7GQ" TargetMode="External"/><Relationship Id="rId768" Type="http://schemas.openxmlformats.org/officeDocument/2006/relationships/hyperlink" Target="https://www.google.com/search?tbm=isch&amp;q=Half%20Au%20Cortado%20%2B%20Role%20%2B%20QDR%20exercise%20gif" TargetMode="External"/><Relationship Id="rId769" Type="http://schemas.openxmlformats.org/officeDocument/2006/relationships/hyperlink" Target="https://www.youtube.com/watch?v=vH4PvfbcL3E" TargetMode="External"/><Relationship Id="rId770" Type="http://schemas.openxmlformats.org/officeDocument/2006/relationships/hyperlink" Target="https://www.google.com/search?tbm=isch&amp;q=Eccentric%20pistol%20%2B%20one%20arm%20side%20push-up%20(intermediate)%20exercise%20gif" TargetMode="External"/><Relationship Id="rId771" Type="http://schemas.openxmlformats.org/officeDocument/2006/relationships/hyperlink" Target="https://www.youtube.com/watch?v=5dZrKPEF1Tg" TargetMode="External"/><Relationship Id="rId772" Type="http://schemas.openxmlformats.org/officeDocument/2006/relationships/hyperlink" Target="https://www.google.com/search?tbm=isch&amp;q=Pistol%20%2B%20one%20arm%20side%20push-up%20(advanced)%20exercise%20gif" TargetMode="External"/><Relationship Id="rId773" Type="http://schemas.openxmlformats.org/officeDocument/2006/relationships/hyperlink" Target="https://www.youtube.com/watch?v=ChQha6QgdvI" TargetMode="External"/><Relationship Id="rId774" Type="http://schemas.openxmlformats.org/officeDocument/2006/relationships/hyperlink" Target="https://www.google.com/search?tbm=isch&amp;q=Mechanical%20advantage%20planche%20push-up%20exercise%20gif" TargetMode="External"/><Relationship Id="rId775" Type="http://schemas.openxmlformats.org/officeDocument/2006/relationships/hyperlink" Target="https://www.youtube.com/watch?v=PlpOW-Vozfg" TargetMode="External"/><Relationship Id="rId776" Type="http://schemas.openxmlformats.org/officeDocument/2006/relationships/hyperlink" Target="https://www.google.com/search?tbm=isch&amp;q=Extended%20hollow-back%20handstand%20push-up%20exercise%20gif" TargetMode="External"/><Relationship Id="rId777" Type="http://schemas.openxmlformats.org/officeDocument/2006/relationships/hyperlink" Target="https://www.youtube.com/watch?v=iAR5ISq1Lvw" TargetMode="External"/><Relationship Id="rId778" Type="http://schemas.openxmlformats.org/officeDocument/2006/relationships/hyperlink" Target="https://www.google.com/search?tbm=isch&amp;q=90&#8211;90%20one%20arm%20iso%20chin-up%20hang%20exercise%20gif" TargetMode="External"/><Relationship Id="rId779" Type="http://schemas.openxmlformats.org/officeDocument/2006/relationships/hyperlink" Target="https://www.youtube.com/watch?v=tgLotMkGGf0" TargetMode="External"/><Relationship Id="rId780" Type="http://schemas.openxmlformats.org/officeDocument/2006/relationships/hyperlink" Target="https://www.google.com/search?tbm=isch&amp;q=Bridge%20push-up%20&#8212;%20one%20leg%20exercise%20gif" TargetMode="External"/><Relationship Id="rId781" Type="http://schemas.openxmlformats.org/officeDocument/2006/relationships/hyperlink" Target="https://www.youtube.com/watch?v=Z_hxSKLZWTA" TargetMode="External"/><Relationship Id="rId782" Type="http://schemas.openxmlformats.org/officeDocument/2006/relationships/hyperlink" Target="https://www.google.com/search?tbm=isch&amp;q=Bridge%20push-up%20&#8212;%20one%20arm%20exercise%20gif" TargetMode="External"/><Relationship Id="rId783" Type="http://schemas.openxmlformats.org/officeDocument/2006/relationships/hyperlink" Target="https://www.youtube.com/watch?v=rJ6mSnBWk-g" TargetMode="External"/><Relationship Id="rId784" Type="http://schemas.openxmlformats.org/officeDocument/2006/relationships/hyperlink" Target="https://www.google.com/search?tbm=isch&amp;q=High%20bridge%20rotations%20exercise%20gif" TargetMode="External"/><Relationship Id="rId785" Type="http://schemas.openxmlformats.org/officeDocument/2006/relationships/hyperlink" Target="https://www.youtube.com/watch?v=0qyRqSbfCNM" TargetMode="External"/><Relationship Id="rId786" Type="http://schemas.openxmlformats.org/officeDocument/2006/relationships/hyperlink" Target="https://www.google.com/search?tbm=isch&amp;q=Inverted%20muscle-up%20(%22Elevator%22)%20exercise%20gif" TargetMode="External"/><Relationship Id="rId787" Type="http://schemas.openxmlformats.org/officeDocument/2006/relationships/hyperlink" Target="https://www.youtube.com/results?search_query=Scapular%20pull-up%20tutorial" TargetMode="External"/><Relationship Id="rId788" Type="http://schemas.openxmlformats.org/officeDocument/2006/relationships/hyperlink" Target="https://www.google.com/search?tbm=isch&amp;q=Scapular%20pull-up%20exercise%20gif" TargetMode="External"/><Relationship Id="rId789" Type="http://schemas.openxmlformats.org/officeDocument/2006/relationships/hyperlink" Target="https://www.youtube.com/results?search_query=Pull-up%20negative%20tutorial" TargetMode="External"/><Relationship Id="rId790" Type="http://schemas.openxmlformats.org/officeDocument/2006/relationships/hyperlink" Target="https://www.google.com/search?tbm=isch&amp;q=Pull-up%20negative%20exercise%20gif" TargetMode="External"/><Relationship Id="rId791" Type="http://schemas.openxmlformats.org/officeDocument/2006/relationships/hyperlink" Target="https://www.youtube.com/results?search_query=False%20grip%20dead%20hang%20tutorial" TargetMode="External"/><Relationship Id="rId792" Type="http://schemas.openxmlformats.org/officeDocument/2006/relationships/hyperlink" Target="https://www.google.com/search?tbm=isch&amp;q=False%20grip%20dead%20hang%20exercise%20gif" TargetMode="External"/><Relationship Id="rId793" Type="http://schemas.openxmlformats.org/officeDocument/2006/relationships/hyperlink" Target="https://www.youtube.com/results?search_query=False%20grip%20ring%20row%20tutorial" TargetMode="External"/><Relationship Id="rId794" Type="http://schemas.openxmlformats.org/officeDocument/2006/relationships/hyperlink" Target="https://www.google.com/search?tbm=isch&amp;q=False%20grip%20ring%20row%20exercise%20gif" TargetMode="External"/><Relationship Id="rId795" Type="http://schemas.openxmlformats.org/officeDocument/2006/relationships/hyperlink" Target="https://www.youtube.com/results?search_query=Ring%20dip%20negative%20tutorial" TargetMode="External"/><Relationship Id="rId796" Type="http://schemas.openxmlformats.org/officeDocument/2006/relationships/hyperlink" Target="https://www.google.com/search?tbm=isch&amp;q=Ring%20dip%20negative%20exercise%20gif" TargetMode="External"/><Relationship Id="rId797" Type="http://schemas.openxmlformats.org/officeDocument/2006/relationships/hyperlink" Target="https://www.youtube.com/results?search_query=Back-to-wall%20handstand%20hold%20tutorial" TargetMode="External"/><Relationship Id="rId798" Type="http://schemas.openxmlformats.org/officeDocument/2006/relationships/hyperlink" Target="https://www.google.com/search?tbm=isch&amp;q=Back-to-wall%20handstand%20hold%20exercise%20gif" TargetMode="External"/><Relationship Id="rId799" Type="http://schemas.openxmlformats.org/officeDocument/2006/relationships/hyperlink" Target="https://www.youtube.com/results?search_query=Shrimp%20squat%20tutorial" TargetMode="External"/><Relationship Id="rId800" Type="http://schemas.openxmlformats.org/officeDocument/2006/relationships/hyperlink" Target="https://www.google.com/search?tbm=isch&amp;q=Shrimp%20squat%20exercise%20gif" TargetMode="External"/><Relationship Id="rId801" Type="http://schemas.openxmlformats.org/officeDocument/2006/relationships/hyperlink" Target="https://www.youtube.com/results?search_query=One-leg%20L-sit%20tutorial" TargetMode="External"/><Relationship Id="rId802" Type="http://schemas.openxmlformats.org/officeDocument/2006/relationships/hyperlink" Target="https://www.google.com/search?tbm=isch&amp;q=One-leg%20L-sit%20exercise%20gif" TargetMode="External"/><Relationship Id="rId803" Type="http://schemas.openxmlformats.org/officeDocument/2006/relationships/hyperlink" Target="https://www.youtube.com/results?search_query=Single-leg%20box%20squat%20tutorial" TargetMode="External"/><Relationship Id="rId804" Type="http://schemas.openxmlformats.org/officeDocument/2006/relationships/hyperlink" Target="https://www.google.com/search?tbm=isch&amp;q=Single-leg%20box%20squat%20exercise%20gif" TargetMode="External"/><Relationship Id="rId805" Type="http://schemas.openxmlformats.org/officeDocument/2006/relationships/hyperlink" Target="https://www.youtube.com/results?search_query=Copenhagen%20plank%20tutorial" TargetMode="External"/><Relationship Id="rId806" Type="http://schemas.openxmlformats.org/officeDocument/2006/relationships/hyperlink" Target="https://www.google.com/search?tbm=isch&amp;q=Copenhagen%20plank%20exercise%20gif" TargetMode="External"/><Relationship Id="rId807" Type="http://schemas.openxmlformats.org/officeDocument/2006/relationships/hyperlink" Target="https://www.youtube.com/results?search_query=Assisted%20pistol%20squat%20tutorial" TargetMode="External"/><Relationship Id="rId808" Type="http://schemas.openxmlformats.org/officeDocument/2006/relationships/hyperlink" Target="https://www.google.com/search?tbm=isch&amp;q=Assisted%20pistol%20squat%20exercise%20gif" TargetMode="External"/><Relationship Id="rId809" Type="http://schemas.openxmlformats.org/officeDocument/2006/relationships/hyperlink" Target="https://www.youtube.com/results?search_query=Pistol%20squat%20tutorial" TargetMode="External"/><Relationship Id="rId810" Type="http://schemas.openxmlformats.org/officeDocument/2006/relationships/hyperlink" Target="https://www.google.com/search?tbm=isch&amp;q=Pistol%20squat%20exercise%20gif" TargetMode="External"/><Relationship Id="rId811" Type="http://schemas.openxmlformats.org/officeDocument/2006/relationships/hyperlink" Target="https://www.youtube.com/results?search_query=Hanging%20knee%20raise%20tutorial" TargetMode="External"/><Relationship Id="rId812" Type="http://schemas.openxmlformats.org/officeDocument/2006/relationships/hyperlink" Target="https://www.google.com/search?tbm=isch&amp;q=Hanging%20knee%20raise%20exercise%20gif" TargetMode="External"/><Relationship Id="rId813" Type="http://schemas.openxmlformats.org/officeDocument/2006/relationships/hyperlink" Target="https://www.youtube.com/results?search_query=Tuck%20back%20lever%20hold%20tutorial" TargetMode="External"/><Relationship Id="rId814" Type="http://schemas.openxmlformats.org/officeDocument/2006/relationships/hyperlink" Target="https://www.google.com/search?tbm=isch&amp;q=Tuck%20back%20lever%20hold%20exercise%20gif" TargetMode="External"/><Relationship Id="rId815" Type="http://schemas.openxmlformats.org/officeDocument/2006/relationships/hyperlink" Target="https://www.youtube.com/results?search_query=Tuck%20front%20lever%20hold%20tutorial" TargetMode="External"/><Relationship Id="rId816" Type="http://schemas.openxmlformats.org/officeDocument/2006/relationships/hyperlink" Target="https://www.google.com/search?tbm=isch&amp;q=Tuck%20front%20lever%20hold%20exercise%20gif" TargetMode="External"/><Relationship Id="rId817" Type="http://schemas.openxmlformats.org/officeDocument/2006/relationships/hyperlink" Target="https://www.youtube.com/watch?v=ifi7-8jRvBI" TargetMode="External"/><Relationship Id="rId818" Type="http://schemas.openxmlformats.org/officeDocument/2006/relationships/hyperlink" Target="https://www.google.com/search?tbm=isch&amp;q=Wall%20Pike%20Pulses%20exercise%20gif" TargetMode="External"/><Relationship Id="rId819" Type="http://schemas.openxmlformats.org/officeDocument/2006/relationships/hyperlink" Target="https://www.youtube.com/results?search_query=Wall%20acceleration%20drill%20tutorial" TargetMode="External"/><Relationship Id="rId820" Type="http://schemas.openxmlformats.org/officeDocument/2006/relationships/hyperlink" Target="https://www.google.com/search?tbm=isch&amp;q=Wall%20acceleration%20drill%20exercise%20gif" TargetMode="External"/><Relationship Id="rId821" Type="http://schemas.openxmlformats.org/officeDocument/2006/relationships/hyperlink" Target="https://www.youtube.com/results?search_query=Mini-hurdle%20hops%20tutorial" TargetMode="External"/><Relationship Id="rId822" Type="http://schemas.openxmlformats.org/officeDocument/2006/relationships/hyperlink" Target="https://www.google.com/search?tbm=isch&amp;q=Mini-hurdle%20hops%20exercise%20gif" TargetMode="External"/><Relationship Id="rId823" Type="http://schemas.openxmlformats.org/officeDocument/2006/relationships/hyperlink" Target="https://www.youtube.com/results?search_query=Snap-down%20%2F%20stick%20landing%20tutorial" TargetMode="External"/><Relationship Id="rId824" Type="http://schemas.openxmlformats.org/officeDocument/2006/relationships/hyperlink" Target="https://www.google.com/search?tbm=isch&amp;q=Snap-down%20%2F%20stick%20landing%20exercise%20gif" TargetMode="External"/><Relationship Id="rId825" Type="http://schemas.openxmlformats.org/officeDocument/2006/relationships/hyperlink" Target="https://www.youtube.com/results?search_query=Split%20squat%20isometric%20hold%20(rear%20foot%20elevated)%20tutorial" TargetMode="External"/><Relationship Id="rId826" Type="http://schemas.openxmlformats.org/officeDocument/2006/relationships/hyperlink" Target="https://www.google.com/search?tbm=isch&amp;q=Split%20squat%20isometric%20hold%20(rear%20foot%20elevated)%20exercise%20gif" TargetMode="External"/><Relationship Id="rId827" Type="http://schemas.openxmlformats.org/officeDocument/2006/relationships/hyperlink" Target="https://www.youtube.com/results?search_query=Spanish%20squat%20tutorial" TargetMode="External"/><Relationship Id="rId828" Type="http://schemas.openxmlformats.org/officeDocument/2006/relationships/hyperlink" Target="https://www.google.com/search?tbm=isch&amp;q=Spanish%20squat%20exercise%20gif" TargetMode="External"/><Relationship Id="rId829" Type="http://schemas.openxmlformats.org/officeDocument/2006/relationships/hyperlink" Target="https://www.youtube.com/results?search_query=Nordic%20hamstring%20curl%20tutorial" TargetMode="External"/><Relationship Id="rId830" Type="http://schemas.openxmlformats.org/officeDocument/2006/relationships/hyperlink" Target="https://www.google.com/search?tbm=isch&amp;q=Nordic%20hamstring%20curl%20exercise%20gif" TargetMode="External"/><Relationship Id="rId831" Type="http://schemas.openxmlformats.org/officeDocument/2006/relationships/hyperlink" Target="https://www.youtube.com/results?search_query=Head-tilt%20edge%20walk%20tutorial" TargetMode="External"/><Relationship Id="rId832" Type="http://schemas.openxmlformats.org/officeDocument/2006/relationships/hyperlink" Target="https://www.google.com/search?tbm=isch&amp;q=Head-tilt%20edge%20walk%20exercise%20gif" TargetMode="External"/><Relationship Id="rId833" Type="http://schemas.openxmlformats.org/officeDocument/2006/relationships/hyperlink" Target="https://www.youtube.com/results?search_query=Turning%20edge%20walk%20tutorial" TargetMode="External"/><Relationship Id="rId834" Type="http://schemas.openxmlformats.org/officeDocument/2006/relationships/hyperlink" Target="https://www.google.com/search?tbm=isch&amp;q=Turning%20edge%20walk%20exercise%20gif" TargetMode="External"/><Relationship Id="rId835" Type="http://schemas.openxmlformats.org/officeDocument/2006/relationships/hyperlink" Target="https://www.youtube.com/results?search_query=Eyes-closed%20single-leg%20edge%20balance%20with%20taps%20tutorial" TargetMode="External"/><Relationship Id="rId836" Type="http://schemas.openxmlformats.org/officeDocument/2006/relationships/hyperlink" Target="https://www.google.com/search?tbm=isch&amp;q=Eyes-closed%20single-leg%20edge%20balance%20with%20taps%20exercise%20gif" TargetMode="External"/><Relationship Id="rId837" Type="http://schemas.openxmlformats.org/officeDocument/2006/relationships/hyperlink" Target="https://www.youtube.com/results?search_query=Eyes-closed%20edge%20squat%20tutorial" TargetMode="External"/><Relationship Id="rId838" Type="http://schemas.openxmlformats.org/officeDocument/2006/relationships/hyperlink" Target="https://www.google.com/search?tbm=isch&amp;q=Eyes-closed%20edge%20squat%20exercise%20gif" TargetMode="External"/><Relationship Id="rId839" Type="http://schemas.openxmlformats.org/officeDocument/2006/relationships/hyperlink" Target="https://www.youtube.com/results?search_query=Single-leg%20edge%20balance%20gaze%20shifts%20tutorial" TargetMode="External"/><Relationship Id="rId840" Type="http://schemas.openxmlformats.org/officeDocument/2006/relationships/hyperlink" Target="https://www.google.com/search?tbm=isch&amp;q=Single-leg%20edge%20balance%20gaze%20shifts%20exercise%20gif" TargetMode="External"/><Relationship Id="rId841" Type="http://schemas.openxmlformats.org/officeDocument/2006/relationships/hyperlink" Target="https://www.youtube.com/results?search_query=Edge%20walk%20%2B%20ball%20bounce%20tutorial" TargetMode="External"/><Relationship Id="rId842" Type="http://schemas.openxmlformats.org/officeDocument/2006/relationships/hyperlink" Target="https://www.google.com/search?tbm=isch&amp;q=Edge%20walk%20%2B%20ball%20bounce%20exercise%20gif" TargetMode="External"/><Relationship Id="rId843" Type="http://schemas.openxmlformats.org/officeDocument/2006/relationships/hyperlink" Target="https://www.youtube.com/results?search_query=Low%20bar%20drill%20(bar%20muscle-up)%20tutorial" TargetMode="External"/><Relationship Id="rId844" Type="http://schemas.openxmlformats.org/officeDocument/2006/relationships/hyperlink" Target="https://www.google.com/search?tbm=isch&amp;q=Low%20bar%20drill%20(bar%20muscle-up)%20exercise%20gif" TargetMode="External"/><Relationship Id="rId845" Type="http://schemas.openxmlformats.org/officeDocument/2006/relationships/hyperlink" Target="https://www.youtube.com/results?search_query=Turtle%20hold%20tutorial" TargetMode="External"/><Relationship Id="rId846" Type="http://schemas.openxmlformats.org/officeDocument/2006/relationships/hyperlink" Target="https://www.google.com/search?tbm=isch&amp;q=Turtle%20hold%20exercise%20gif" TargetMode="External"/><Relationship Id="rId847" Type="http://schemas.openxmlformats.org/officeDocument/2006/relationships/hyperlink" Target="https://www.youtube.com/results?search_query=Slingshot%20rebound%20plank%20tutorial" TargetMode="External"/><Relationship Id="rId848" Type="http://schemas.openxmlformats.org/officeDocument/2006/relationships/hyperlink" Target="https://www.google.com/search?tbm=isch&amp;q=Slingshot%20rebound%20plank%20exercise%20gif" TargetMode="External"/><Relationship Id="rId849" Type="http://schemas.openxmlformats.org/officeDocument/2006/relationships/hyperlink" Target="https://www.youtube.com/results?search_query=Sit-through%20%2F%20hip%20switch%20tutorial" TargetMode="External"/><Relationship Id="rId850" Type="http://schemas.openxmlformats.org/officeDocument/2006/relationships/hyperlink" Target="https://www.google.com/search?tbm=isch&amp;q=Sit-through%20%2F%20hip%20switch%20exercise%20gif" TargetMode="External"/><Relationship Id="rId851" Type="http://schemas.openxmlformats.org/officeDocument/2006/relationships/hyperlink" Target="https://www.youtube.com/results?search_query=Sprawl%20tutorial" TargetMode="External"/><Relationship Id="rId852" Type="http://schemas.openxmlformats.org/officeDocument/2006/relationships/hyperlink" Target="https://www.google.com/search?tbm=isch&amp;q=Sprawl%20exercise%20gif" TargetMode="External"/><Relationship Id="rId853" Type="http://schemas.openxmlformats.org/officeDocument/2006/relationships/hyperlink" Target="https://www.youtube.com/results?search_query=Level-change%20penetration%20step%20tutorial" TargetMode="External"/><Relationship Id="rId854" Type="http://schemas.openxmlformats.org/officeDocument/2006/relationships/hyperlink" Target="https://www.google.com/search?tbm=isch&amp;q=Level-change%20penetration%20step%20exercise%20gif" TargetMode="External"/><Relationship Id="rId855" Type="http://schemas.openxmlformats.org/officeDocument/2006/relationships/hyperlink" Target="https://www.youtube.com/results?search_query=Donkey%20kicks%20tutorial" TargetMode="External"/><Relationship Id="rId856" Type="http://schemas.openxmlformats.org/officeDocument/2006/relationships/hyperlink" Target="https://www.google.com/search?tbm=isch&amp;q=Donkey%20kicks%20exercise%20gif" TargetMode="External"/><Relationship Id="rId857" Type="http://schemas.openxmlformats.org/officeDocument/2006/relationships/hyperlink" Target="https://www.youtube.com/results?search_query=Two-limbs%20negativa%20tutorial" TargetMode="External"/><Relationship Id="rId858" Type="http://schemas.openxmlformats.org/officeDocument/2006/relationships/hyperlink" Target="https://www.google.com/search?tbm=isch&amp;q=Two-limbs%20negativa%20exercise%20gif" TargetMode="External"/><Relationship Id="rId859" Type="http://schemas.openxmlformats.org/officeDocument/2006/relationships/hyperlink" Target="https://www.youtube.com/results?search_query=Wheel%20whip%20tutorial" TargetMode="External"/><Relationship Id="rId860" Type="http://schemas.openxmlformats.org/officeDocument/2006/relationships/hyperlink" Target="https://www.google.com/search?tbm=isch&amp;q=Wheel%20whip%20exercise%20gif" TargetMode="External"/><Relationship Id="rId861" Type="http://schemas.openxmlformats.org/officeDocument/2006/relationships/hyperlink" Target="https://www.youtube.com/results?search_query=Breakfalls%20tutorial" TargetMode="External"/><Relationship Id="rId862" Type="http://schemas.openxmlformats.org/officeDocument/2006/relationships/hyperlink" Target="https://www.google.com/search?tbm=isch&amp;q=Breakfalls%20exercise%20gif" TargetMode="External"/><Relationship Id="rId863" Type="http://schemas.openxmlformats.org/officeDocument/2006/relationships/hyperlink" Target="https://www.youtube.com/results?search_query=Standing%20back%20arch%20into%20bridge%20tutorial" TargetMode="External"/><Relationship Id="rId864" Type="http://schemas.openxmlformats.org/officeDocument/2006/relationships/hyperlink" Target="https://www.google.com/search?tbm=isch&amp;q=Standing%20back%20arch%20into%20bridge%20exercise%20gif" TargetMode="External"/><Relationship Id="rId865" Type="http://schemas.openxmlformats.org/officeDocument/2006/relationships/hyperlink" Target="https://www.youtube.com/results?search_query=Isometric%20mid-thigh%20pull%20against%20pins%20tutorial" TargetMode="External"/><Relationship Id="rId866" Type="http://schemas.openxmlformats.org/officeDocument/2006/relationships/hyperlink" Target="https://www.google.com/search?tbm=isch&amp;q=Isometric%20mid-thigh%20pull%20against%20pins%20exercise%20gif" TargetMode="External"/><Relationship Id="rId867"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3"/>
  </cols>
  <sheetData>
    <row r="1" customFormat="false" ht="17.25" hidden="false" customHeight="true" outlineLevel="0" collapsed="false">
      <c r="A1" s="2" t="s">
        <v>0</v>
      </c>
    </row>
    <row r="2" customFormat="false" ht="30" hidden="false" customHeight="true" outlineLevel="0" collapsed="false">
      <c r="A2" s="3" t="s">
        <v>1</v>
      </c>
      <c r="B2" s="3"/>
      <c r="C2" s="3"/>
      <c r="D2" s="3"/>
      <c r="E2" s="3"/>
    </row>
    <row r="3" customFormat="false" ht="45" hidden="false" customHeight="true" outlineLevel="0" collapsed="false">
      <c r="A3" s="3" t="s">
        <v>2</v>
      </c>
      <c r="B3" s="3"/>
      <c r="C3" s="3"/>
      <c r="D3" s="3"/>
      <c r="E3" s="3"/>
    </row>
    <row r="4" customFormat="false" ht="15" hidden="false" customHeight="true" outlineLevel="0" collapsed="false">
      <c r="A4" s="4"/>
      <c r="B4" s="4"/>
      <c r="C4" s="4"/>
      <c r="D4" s="4"/>
      <c r="E4" s="4"/>
    </row>
    <row r="5" customFormat="false" ht="15" hidden="false" customHeight="true" outlineLevel="0" collapsed="false">
      <c r="A5" s="5" t="s">
        <v>3</v>
      </c>
      <c r="B5" s="5" t="s">
        <v>4</v>
      </c>
      <c r="C5" s="5" t="s">
        <v>5</v>
      </c>
      <c r="D5" s="5" t="s">
        <v>6</v>
      </c>
      <c r="E5" s="5" t="s">
        <v>7</v>
      </c>
    </row>
    <row r="6" customFormat="false" ht="15" hidden="false" customHeight="true" outlineLevel="0" collapsed="false">
      <c r="A6" s="4" t="s">
        <v>8</v>
      </c>
      <c r="B6" s="4" t="n">
        <f aca="false">COUNTIF(Worklist!$A$2:$A$434,A6)</f>
        <v>65</v>
      </c>
      <c r="C6" s="4" t="n">
        <f aca="false">COUNTIFS(Worklist!$A$2:$A$434,A6,Worklist!$L$2:$L$434,"")</f>
        <v>3</v>
      </c>
      <c r="D6" s="4" t="n">
        <f aca="false">COUNTIFS(Worklist!$A$2:$A$434,A6,Worklist!$M$2:$M$434,"")</f>
        <v>3</v>
      </c>
      <c r="E6" s="4" t="n">
        <f aca="false">COUNTIFS(Worklist!$A$2:$A$434,A6,Worklist!$N$2:$N$434,"yes")</f>
        <v>62</v>
      </c>
    </row>
    <row r="7" customFormat="false" ht="15" hidden="false" customHeight="true" outlineLevel="0" collapsed="false">
      <c r="A7" s="4" t="s">
        <v>9</v>
      </c>
      <c r="B7" s="4" t="n">
        <f aca="false">COUNTIF(Worklist!$A$2:$A$434,A7)</f>
        <v>157</v>
      </c>
      <c r="C7" s="4" t="n">
        <f aca="false">COUNTIFS(Worklist!$A$2:$A$434,A7,Worklist!$L$2:$L$434,"")</f>
        <v>148</v>
      </c>
      <c r="D7" s="4" t="n">
        <f aca="false">COUNTIFS(Worklist!$A$2:$A$434,A7,Worklist!$M$2:$M$434,"")</f>
        <v>157</v>
      </c>
      <c r="E7" s="4" t="n">
        <f aca="false">COUNTIFS(Worklist!$A$2:$A$434,A7,Worklist!$N$2:$N$434,"yes")</f>
        <v>0</v>
      </c>
    </row>
    <row r="8" customFormat="false" ht="15" hidden="false" customHeight="true" outlineLevel="0" collapsed="false">
      <c r="A8" s="4" t="s">
        <v>10</v>
      </c>
      <c r="B8" s="4" t="n">
        <f aca="false">COUNTIF(Worklist!$A$2:$A$434,A8)</f>
        <v>142</v>
      </c>
      <c r="C8" s="4" t="n">
        <f aca="false">COUNTIFS(Worklist!$A$2:$A$434,A8,Worklist!$L$2:$L$434,"")</f>
        <v>129</v>
      </c>
      <c r="D8" s="4" t="n">
        <f aca="false">COUNTIFS(Worklist!$A$2:$A$434,A8,Worklist!$M$2:$M$434,"")</f>
        <v>142</v>
      </c>
      <c r="E8" s="4" t="n">
        <f aca="false">COUNTIFS(Worklist!$A$2:$A$434,A8,Worklist!$N$2:$N$434,"yes")</f>
        <v>0</v>
      </c>
    </row>
    <row r="9" customFormat="false" ht="15" hidden="false" customHeight="true" outlineLevel="0" collapsed="false">
      <c r="A9" s="4" t="s">
        <v>11</v>
      </c>
      <c r="B9" s="4" t="n">
        <f aca="false">COUNTIF(Worklist!$A$2:$A$434,A9)</f>
        <v>29</v>
      </c>
      <c r="C9" s="4" t="n">
        <f aca="false">COUNTIFS(Worklist!$A$2:$A$434,A9,Worklist!$L$2:$L$434,"")</f>
        <v>14</v>
      </c>
      <c r="D9" s="4" t="n">
        <f aca="false">COUNTIFS(Worklist!$A$2:$A$434,A9,Worklist!$M$2:$M$434,"")</f>
        <v>29</v>
      </c>
      <c r="E9" s="4" t="n">
        <f aca="false">COUNTIFS(Worklist!$A$2:$A$434,A9,Worklist!$N$2:$N$434,"yes")</f>
        <v>0</v>
      </c>
    </row>
    <row r="10" customFormat="false" ht="15" hidden="false" customHeight="true" outlineLevel="0" collapsed="false">
      <c r="A10" s="4" t="s">
        <v>12</v>
      </c>
      <c r="B10" s="4" t="n">
        <f aca="false">COUNTIF(Worklist!$A$2:$A$434,A10)</f>
        <v>16</v>
      </c>
      <c r="C10" s="4" t="n">
        <f aca="false">COUNTIFS(Worklist!$A$2:$A$434,A10,Worklist!$L$2:$L$434,"")</f>
        <v>15</v>
      </c>
      <c r="D10" s="4" t="n">
        <f aca="false">COUNTIFS(Worklist!$A$2:$A$434,A10,Worklist!$M$2:$M$434,"")</f>
        <v>16</v>
      </c>
      <c r="E10" s="4" t="n">
        <f aca="false">COUNTIFS(Worklist!$A$2:$A$434,A10,Worklist!$N$2:$N$434,"yes")</f>
        <v>0</v>
      </c>
    </row>
    <row r="11" customFormat="false" ht="15" hidden="false" customHeight="true" outlineLevel="0" collapsed="false">
      <c r="A11" s="4" t="s">
        <v>13</v>
      </c>
      <c r="B11" s="4" t="n">
        <f aca="false">COUNTIF(Worklist!$A$2:$A$434,A11)</f>
        <v>24</v>
      </c>
      <c r="C11" s="4" t="n">
        <f aca="false">COUNTIFS(Worklist!$A$2:$A$434,A11,Worklist!$L$2:$L$434,"")</f>
        <v>24</v>
      </c>
      <c r="D11" s="4" t="n">
        <f aca="false">COUNTIFS(Worklist!$A$2:$A$434,A11,Worklist!$M$2:$M$434,"")</f>
        <v>24</v>
      </c>
      <c r="E11" s="4" t="n">
        <f aca="false">COUNTIFS(Worklist!$A$2:$A$434,A11,Worklist!$N$2:$N$434,"yes")</f>
        <v>0</v>
      </c>
    </row>
    <row r="12" customFormat="false" ht="15" hidden="false" customHeight="true" outlineLevel="0" collapsed="false">
      <c r="A12" s="6" t="s">
        <v>14</v>
      </c>
      <c r="B12" s="6" t="n">
        <f aca="false">SUM(B6:B11)</f>
        <v>433</v>
      </c>
      <c r="C12" s="6" t="n">
        <f aca="false">SUM(C6:C11)</f>
        <v>333</v>
      </c>
      <c r="D12" s="6" t="n">
        <f aca="false">SUM(D6:D11)</f>
        <v>371</v>
      </c>
      <c r="E12" s="6" t="n">
        <f aca="false">SUM(E6:E11)</f>
        <v>62</v>
      </c>
    </row>
  </sheetData>
  <mergeCells count="2">
    <mergeCell ref="A2:E2"/>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30"/>
    <col collapsed="false" customWidth="true" hidden="false" outlineLevel="0" max="4" min="4" style="0" width="20"/>
    <col collapsed="false" customWidth="true" hidden="false" outlineLevel="0" max="5" min="5" style="0" width="34"/>
    <col collapsed="false" customWidth="true" hidden="false" outlineLevel="0" max="6" min="6" style="0" width="12"/>
    <col collapsed="false" customWidth="true" hidden="false" outlineLevel="0" max="7" min="7" style="0" width="26"/>
    <col collapsed="false" customWidth="true" hidden="false" outlineLevel="0" max="8" min="8" style="0" width="30"/>
    <col collapsed="false" customWidth="true" hidden="false" outlineLevel="0" max="9" min="9" style="0" width="70"/>
    <col collapsed="false" customWidth="true" hidden="false" outlineLevel="0" max="10" min="10" style="0" width="16"/>
  </cols>
  <sheetData>
    <row r="1" customFormat="false" ht="15" hidden="false" customHeight="false" outlineLevel="0" collapsed="false">
      <c r="A1" s="7" t="s">
        <v>15</v>
      </c>
      <c r="B1" s="7" t="s">
        <v>16</v>
      </c>
      <c r="C1" s="7" t="s">
        <v>17</v>
      </c>
      <c r="D1" s="7" t="s">
        <v>18</v>
      </c>
      <c r="E1" s="7" t="s">
        <v>19</v>
      </c>
      <c r="F1" s="7" t="s">
        <v>20</v>
      </c>
      <c r="G1" s="7" t="s">
        <v>21</v>
      </c>
      <c r="H1" s="7" t="s">
        <v>22</v>
      </c>
      <c r="I1" s="7" t="s">
        <v>23</v>
      </c>
      <c r="J1" s="7" t="s">
        <v>24</v>
      </c>
    </row>
    <row r="2" customFormat="false" ht="77.6" hidden="false" customHeight="false" outlineLevel="0" collapsed="false">
      <c r="A2" s="8" t="s">
        <v>25</v>
      </c>
      <c r="B2" s="8" t="s">
        <v>26</v>
      </c>
      <c r="C2" s="9" t="s">
        <v>27</v>
      </c>
      <c r="D2" s="8" t="s">
        <v>28</v>
      </c>
      <c r="E2" s="8" t="s">
        <v>29</v>
      </c>
      <c r="F2" s="8" t="s">
        <v>30</v>
      </c>
      <c r="G2" s="8" t="s">
        <v>31</v>
      </c>
      <c r="H2" s="8" t="s">
        <v>32</v>
      </c>
      <c r="I2" s="8" t="s">
        <v>33</v>
      </c>
      <c r="J2" s="10"/>
    </row>
    <row r="3" customFormat="false" ht="77.6" hidden="false" customHeight="false" outlineLevel="0" collapsed="false">
      <c r="A3" s="8" t="s">
        <v>34</v>
      </c>
      <c r="B3" s="8" t="s">
        <v>35</v>
      </c>
      <c r="C3" s="9" t="s">
        <v>36</v>
      </c>
      <c r="D3" s="8" t="s">
        <v>37</v>
      </c>
      <c r="E3" s="8" t="s">
        <v>38</v>
      </c>
      <c r="F3" s="8" t="s">
        <v>30</v>
      </c>
      <c r="G3" s="8" t="s">
        <v>39</v>
      </c>
      <c r="H3" s="8" t="s">
        <v>32</v>
      </c>
      <c r="I3" s="8" t="s">
        <v>40</v>
      </c>
      <c r="J3" s="10"/>
    </row>
    <row r="4" customFormat="false" ht="77.6" hidden="false" customHeight="false" outlineLevel="0" collapsed="false">
      <c r="A4" s="8" t="s">
        <v>41</v>
      </c>
      <c r="B4" s="8" t="s">
        <v>42</v>
      </c>
      <c r="C4" s="9" t="s">
        <v>43</v>
      </c>
      <c r="D4" s="8" t="s">
        <v>44</v>
      </c>
      <c r="E4" s="8" t="s">
        <v>45</v>
      </c>
      <c r="F4" s="8" t="s">
        <v>30</v>
      </c>
      <c r="G4" s="8" t="s">
        <v>46</v>
      </c>
      <c r="H4" s="8" t="s">
        <v>32</v>
      </c>
      <c r="I4" s="8" t="s">
        <v>47</v>
      </c>
      <c r="J4" s="10"/>
    </row>
    <row r="5" customFormat="false" ht="77.6" hidden="false" customHeight="false" outlineLevel="0" collapsed="false">
      <c r="A5" s="8" t="s">
        <v>48</v>
      </c>
      <c r="B5" s="8" t="s">
        <v>49</v>
      </c>
      <c r="C5" s="9" t="s">
        <v>50</v>
      </c>
      <c r="D5" s="8" t="s">
        <v>51</v>
      </c>
      <c r="E5" s="8" t="s">
        <v>52</v>
      </c>
      <c r="F5" s="8" t="s">
        <v>53</v>
      </c>
      <c r="G5" s="8"/>
      <c r="H5" s="9" t="s">
        <v>54</v>
      </c>
      <c r="I5" s="8" t="s">
        <v>55</v>
      </c>
      <c r="J5" s="10"/>
    </row>
    <row r="6" customFormat="false" ht="64.9" hidden="false" customHeight="false" outlineLevel="0" collapsed="false">
      <c r="A6" s="8" t="s">
        <v>56</v>
      </c>
      <c r="B6" s="8" t="s">
        <v>57</v>
      </c>
      <c r="C6" s="9" t="s">
        <v>58</v>
      </c>
      <c r="D6" s="8" t="s">
        <v>59</v>
      </c>
      <c r="E6" s="8" t="s">
        <v>60</v>
      </c>
      <c r="F6" s="8" t="s">
        <v>53</v>
      </c>
      <c r="G6" s="8"/>
      <c r="H6" s="9" t="s">
        <v>61</v>
      </c>
      <c r="I6" s="8" t="s">
        <v>62</v>
      </c>
      <c r="J6" s="10"/>
    </row>
    <row r="7" customFormat="false" ht="64.9" hidden="false" customHeight="false" outlineLevel="0" collapsed="false">
      <c r="A7" s="8" t="s">
        <v>63</v>
      </c>
      <c r="B7" s="8" t="s">
        <v>64</v>
      </c>
      <c r="C7" s="9" t="s">
        <v>65</v>
      </c>
      <c r="D7" s="8" t="s">
        <v>66</v>
      </c>
      <c r="E7" s="8" t="s">
        <v>67</v>
      </c>
      <c r="F7" s="8" t="s">
        <v>53</v>
      </c>
      <c r="G7" s="8"/>
      <c r="H7" s="8" t="s">
        <v>32</v>
      </c>
      <c r="I7" s="8" t="s">
        <v>68</v>
      </c>
      <c r="J7" s="10"/>
    </row>
    <row r="8" customFormat="false" ht="77.6" hidden="false" customHeight="false" outlineLevel="0" collapsed="false">
      <c r="A8" s="8" t="s">
        <v>69</v>
      </c>
      <c r="B8" s="8" t="s">
        <v>70</v>
      </c>
      <c r="C8" s="9" t="s">
        <v>71</v>
      </c>
      <c r="D8" s="8" t="s">
        <v>72</v>
      </c>
      <c r="E8" s="8" t="s">
        <v>73</v>
      </c>
      <c r="F8" s="8" t="s">
        <v>53</v>
      </c>
      <c r="G8" s="8"/>
      <c r="H8" s="9" t="s">
        <v>74</v>
      </c>
      <c r="I8" s="8" t="s">
        <v>75</v>
      </c>
      <c r="J8" s="10"/>
    </row>
    <row r="9" customFormat="false" ht="77.6" hidden="false" customHeight="false" outlineLevel="0" collapsed="false">
      <c r="A9" s="8" t="s">
        <v>76</v>
      </c>
      <c r="B9" s="8" t="s">
        <v>77</v>
      </c>
      <c r="C9" s="9" t="s">
        <v>78</v>
      </c>
      <c r="D9" s="8" t="s">
        <v>79</v>
      </c>
      <c r="E9" s="8" t="s">
        <v>80</v>
      </c>
      <c r="F9" s="8" t="s">
        <v>53</v>
      </c>
      <c r="G9" s="8"/>
      <c r="H9" s="8" t="s">
        <v>32</v>
      </c>
      <c r="I9" s="8" t="s">
        <v>81</v>
      </c>
      <c r="J9" s="10"/>
    </row>
    <row r="10" customFormat="false" ht="64.9" hidden="false" customHeight="false" outlineLevel="0" collapsed="false">
      <c r="A10" s="8" t="s">
        <v>82</v>
      </c>
      <c r="B10" s="8" t="s">
        <v>83</v>
      </c>
      <c r="C10" s="9" t="s">
        <v>84</v>
      </c>
      <c r="D10" s="8" t="s">
        <v>85</v>
      </c>
      <c r="E10" s="8" t="s">
        <v>86</v>
      </c>
      <c r="F10" s="8" t="s">
        <v>53</v>
      </c>
      <c r="G10" s="8"/>
      <c r="H10" s="9" t="s">
        <v>87</v>
      </c>
      <c r="I10" s="8" t="s">
        <v>88</v>
      </c>
      <c r="J10" s="10"/>
    </row>
    <row r="11" customFormat="false" ht="77.6" hidden="false" customHeight="false" outlineLevel="0" collapsed="false">
      <c r="A11" s="8" t="s">
        <v>89</v>
      </c>
      <c r="B11" s="8" t="s">
        <v>90</v>
      </c>
      <c r="C11" s="9" t="s">
        <v>91</v>
      </c>
      <c r="D11" s="8" t="s">
        <v>92</v>
      </c>
      <c r="E11" s="8" t="s">
        <v>93</v>
      </c>
      <c r="F11" s="8" t="s">
        <v>53</v>
      </c>
      <c r="G11" s="8" t="s">
        <v>94</v>
      </c>
      <c r="H11" s="8" t="s">
        <v>32</v>
      </c>
      <c r="I11" s="8" t="s">
        <v>95</v>
      </c>
      <c r="J11" s="10"/>
    </row>
    <row r="12" customFormat="false" ht="64.9" hidden="false" customHeight="false" outlineLevel="0" collapsed="false">
      <c r="A12" s="8" t="s">
        <v>96</v>
      </c>
      <c r="B12" s="8" t="s">
        <v>97</v>
      </c>
      <c r="C12" s="9" t="s">
        <v>98</v>
      </c>
      <c r="D12" s="8" t="s">
        <v>99</v>
      </c>
      <c r="E12" s="8" t="s">
        <v>100</v>
      </c>
      <c r="F12" s="8" t="s">
        <v>53</v>
      </c>
      <c r="G12" s="8"/>
      <c r="H12" s="9" t="s">
        <v>101</v>
      </c>
      <c r="I12" s="8" t="s">
        <v>102</v>
      </c>
      <c r="J12" s="10"/>
    </row>
    <row r="13" customFormat="false" ht="90.25" hidden="false" customHeight="false" outlineLevel="0" collapsed="false">
      <c r="A13" s="8" t="s">
        <v>103</v>
      </c>
      <c r="B13" s="8" t="s">
        <v>104</v>
      </c>
      <c r="C13" s="9" t="s">
        <v>105</v>
      </c>
      <c r="D13" s="8" t="s">
        <v>106</v>
      </c>
      <c r="E13" s="8" t="s">
        <v>107</v>
      </c>
      <c r="F13" s="8" t="s">
        <v>53</v>
      </c>
      <c r="G13" s="8"/>
      <c r="H13" s="8" t="s">
        <v>32</v>
      </c>
      <c r="I13" s="8" t="s">
        <v>108</v>
      </c>
      <c r="J13" s="10"/>
    </row>
    <row r="14" customFormat="false" ht="64.9" hidden="false" customHeight="false" outlineLevel="0" collapsed="false">
      <c r="A14" s="8" t="s">
        <v>109</v>
      </c>
      <c r="B14" s="8" t="s">
        <v>110</v>
      </c>
      <c r="C14" s="9" t="s">
        <v>111</v>
      </c>
      <c r="D14" s="8" t="s">
        <v>112</v>
      </c>
      <c r="E14" s="8" t="s">
        <v>113</v>
      </c>
      <c r="F14" s="8" t="s">
        <v>53</v>
      </c>
      <c r="G14" s="8"/>
      <c r="H14" s="9" t="s">
        <v>114</v>
      </c>
      <c r="I14" s="8" t="s">
        <v>115</v>
      </c>
      <c r="J14" s="10"/>
    </row>
    <row r="15" customFormat="false" ht="77.6" hidden="false" customHeight="false" outlineLevel="0" collapsed="false">
      <c r="A15" s="8" t="s">
        <v>116</v>
      </c>
      <c r="B15" s="8" t="s">
        <v>117</v>
      </c>
      <c r="C15" s="9" t="s">
        <v>118</v>
      </c>
      <c r="D15" s="8" t="s">
        <v>112</v>
      </c>
      <c r="E15" s="8" t="s">
        <v>119</v>
      </c>
      <c r="F15" s="8" t="s">
        <v>53</v>
      </c>
      <c r="G15" s="8"/>
      <c r="H15" s="9" t="s">
        <v>120</v>
      </c>
      <c r="I15" s="8" t="s">
        <v>121</v>
      </c>
      <c r="J15" s="10"/>
    </row>
    <row r="16" customFormat="false" ht="64.9" hidden="false" customHeight="false" outlineLevel="0" collapsed="false">
      <c r="A16" s="8" t="s">
        <v>122</v>
      </c>
      <c r="B16" s="8" t="s">
        <v>123</v>
      </c>
      <c r="C16" s="9" t="s">
        <v>124</v>
      </c>
      <c r="D16" s="8" t="s">
        <v>125</v>
      </c>
      <c r="E16" s="8" t="s">
        <v>126</v>
      </c>
      <c r="F16" s="8" t="s">
        <v>53</v>
      </c>
      <c r="G16" s="8"/>
      <c r="H16" s="8" t="s">
        <v>32</v>
      </c>
      <c r="I16" s="8" t="s">
        <v>127</v>
      </c>
      <c r="J16" s="10"/>
    </row>
    <row r="17" customFormat="false" ht="64.9" hidden="false" customHeight="false" outlineLevel="0" collapsed="false">
      <c r="A17" s="8" t="s">
        <v>128</v>
      </c>
      <c r="B17" s="8" t="s">
        <v>129</v>
      </c>
      <c r="C17" s="9" t="s">
        <v>130</v>
      </c>
      <c r="D17" s="8" t="s">
        <v>112</v>
      </c>
      <c r="E17" s="8" t="s">
        <v>131</v>
      </c>
      <c r="F17" s="8" t="s">
        <v>53</v>
      </c>
      <c r="G17" s="8"/>
      <c r="H17" s="9" t="s">
        <v>132</v>
      </c>
      <c r="I17" s="8" t="s">
        <v>133</v>
      </c>
      <c r="J17" s="10"/>
    </row>
    <row r="18" customFormat="false" ht="64.9" hidden="false" customHeight="false" outlineLevel="0" collapsed="false">
      <c r="A18" s="8" t="s">
        <v>134</v>
      </c>
      <c r="B18" s="8" t="s">
        <v>135</v>
      </c>
      <c r="C18" s="9" t="s">
        <v>136</v>
      </c>
      <c r="D18" s="8" t="s">
        <v>137</v>
      </c>
      <c r="E18" s="8" t="s">
        <v>138</v>
      </c>
      <c r="F18" s="8" t="s">
        <v>53</v>
      </c>
      <c r="G18" s="8" t="s">
        <v>139</v>
      </c>
      <c r="H18" s="8" t="s">
        <v>32</v>
      </c>
      <c r="I18" s="8" t="s">
        <v>140</v>
      </c>
      <c r="J18" s="10"/>
    </row>
    <row r="19" customFormat="false" ht="90.25" hidden="false" customHeight="false" outlineLevel="0" collapsed="false">
      <c r="A19" s="8" t="s">
        <v>141</v>
      </c>
      <c r="B19" s="8" t="s">
        <v>142</v>
      </c>
      <c r="C19" s="9" t="s">
        <v>143</v>
      </c>
      <c r="D19" s="8" t="s">
        <v>112</v>
      </c>
      <c r="E19" s="8" t="s">
        <v>144</v>
      </c>
      <c r="F19" s="8" t="s">
        <v>53</v>
      </c>
      <c r="G19" s="8"/>
      <c r="H19" s="9" t="s">
        <v>145</v>
      </c>
      <c r="I19" s="8" t="s">
        <v>146</v>
      </c>
      <c r="J19" s="10"/>
    </row>
    <row r="20" customFormat="false" ht="77.6" hidden="false" customHeight="false" outlineLevel="0" collapsed="false">
      <c r="A20" s="8" t="s">
        <v>147</v>
      </c>
      <c r="B20" s="8" t="s">
        <v>148</v>
      </c>
      <c r="C20" s="9" t="s">
        <v>149</v>
      </c>
      <c r="D20" s="8" t="s">
        <v>150</v>
      </c>
      <c r="E20" s="8" t="s">
        <v>151</v>
      </c>
      <c r="F20" s="8" t="s">
        <v>53</v>
      </c>
      <c r="G20" s="8"/>
      <c r="H20" s="8" t="s">
        <v>32</v>
      </c>
      <c r="I20" s="8" t="s">
        <v>152</v>
      </c>
      <c r="J20" s="10"/>
    </row>
    <row r="21" customFormat="false" ht="64.9" hidden="false" customHeight="false" outlineLevel="0" collapsed="false">
      <c r="A21" s="8" t="s">
        <v>153</v>
      </c>
      <c r="B21" s="8" t="s">
        <v>154</v>
      </c>
      <c r="C21" s="9" t="s">
        <v>155</v>
      </c>
      <c r="D21" s="8" t="s">
        <v>156</v>
      </c>
      <c r="E21" s="8" t="s">
        <v>157</v>
      </c>
      <c r="F21" s="8" t="s">
        <v>53</v>
      </c>
      <c r="G21" s="8"/>
      <c r="H21" s="8" t="s">
        <v>32</v>
      </c>
      <c r="I21" s="8" t="s">
        <v>158</v>
      </c>
      <c r="J21" s="10"/>
    </row>
    <row r="22" customFormat="false" ht="77.6" hidden="false" customHeight="false" outlineLevel="0" collapsed="false">
      <c r="A22" s="8" t="s">
        <v>159</v>
      </c>
      <c r="B22" s="8" t="s">
        <v>160</v>
      </c>
      <c r="C22" s="9" t="s">
        <v>161</v>
      </c>
      <c r="D22" s="8" t="s">
        <v>162</v>
      </c>
      <c r="E22" s="8" t="s">
        <v>163</v>
      </c>
      <c r="F22" s="8" t="s">
        <v>53</v>
      </c>
      <c r="G22" s="8"/>
      <c r="H22" s="8" t="s">
        <v>32</v>
      </c>
      <c r="I22" s="8" t="s">
        <v>164</v>
      </c>
      <c r="J22" s="10"/>
    </row>
    <row r="23" customFormat="false" ht="64.9" hidden="false" customHeight="false" outlineLevel="0" collapsed="false">
      <c r="A23" s="8" t="s">
        <v>165</v>
      </c>
      <c r="B23" s="8" t="s">
        <v>166</v>
      </c>
      <c r="C23" s="9" t="s">
        <v>167</v>
      </c>
      <c r="D23" s="8" t="s">
        <v>168</v>
      </c>
      <c r="E23" s="8" t="s">
        <v>169</v>
      </c>
      <c r="F23" s="8" t="s">
        <v>53</v>
      </c>
      <c r="G23" s="8"/>
      <c r="H23" s="8" t="s">
        <v>32</v>
      </c>
      <c r="I23" s="8" t="s">
        <v>170</v>
      </c>
      <c r="J23" s="10"/>
    </row>
    <row r="24" customFormat="false" ht="77.6" hidden="false" customHeight="false" outlineLevel="0" collapsed="false">
      <c r="A24" s="8" t="s">
        <v>171</v>
      </c>
      <c r="B24" s="8" t="s">
        <v>172</v>
      </c>
      <c r="C24" s="9" t="s">
        <v>173</v>
      </c>
      <c r="D24" s="8" t="s">
        <v>174</v>
      </c>
      <c r="E24" s="8" t="s">
        <v>175</v>
      </c>
      <c r="F24" s="8" t="s">
        <v>176</v>
      </c>
      <c r="G24" s="8"/>
      <c r="H24" s="8" t="s">
        <v>32</v>
      </c>
      <c r="I24" s="8" t="s">
        <v>177</v>
      </c>
      <c r="J24" s="10"/>
    </row>
    <row r="25" customFormat="false" ht="102.95" hidden="false" customHeight="false" outlineLevel="0" collapsed="false">
      <c r="A25" s="8" t="s">
        <v>178</v>
      </c>
      <c r="B25" s="8" t="s">
        <v>179</v>
      </c>
      <c r="C25" s="9" t="s">
        <v>180</v>
      </c>
      <c r="D25" s="8" t="s">
        <v>181</v>
      </c>
      <c r="E25" s="8" t="s">
        <v>182</v>
      </c>
      <c r="F25" s="8" t="s">
        <v>176</v>
      </c>
      <c r="G25" s="8"/>
      <c r="H25" s="8" t="s">
        <v>32</v>
      </c>
      <c r="I25" s="8" t="s">
        <v>183</v>
      </c>
      <c r="J25" s="10"/>
    </row>
    <row r="26" customFormat="false" ht="90.25" hidden="false" customHeight="false" outlineLevel="0" collapsed="false">
      <c r="A26" s="8" t="s">
        <v>184</v>
      </c>
      <c r="B26" s="8" t="s">
        <v>185</v>
      </c>
      <c r="C26" s="9" t="s">
        <v>186</v>
      </c>
      <c r="D26" s="8" t="s">
        <v>187</v>
      </c>
      <c r="E26" s="8" t="s">
        <v>188</v>
      </c>
      <c r="F26" s="8" t="s">
        <v>176</v>
      </c>
      <c r="G26" s="8"/>
      <c r="H26" s="8" t="s">
        <v>32</v>
      </c>
      <c r="I26" s="8" t="s">
        <v>189</v>
      </c>
      <c r="J26" s="10"/>
    </row>
    <row r="27" customFormat="false" ht="64.9" hidden="false" customHeight="false" outlineLevel="0" collapsed="false">
      <c r="A27" s="8" t="s">
        <v>190</v>
      </c>
      <c r="B27" s="8" t="s">
        <v>191</v>
      </c>
      <c r="C27" s="9" t="s">
        <v>192</v>
      </c>
      <c r="D27" s="8" t="s">
        <v>193</v>
      </c>
      <c r="E27" s="8" t="s">
        <v>194</v>
      </c>
      <c r="F27" s="8" t="s">
        <v>176</v>
      </c>
      <c r="G27" s="8"/>
      <c r="H27" s="8" t="s">
        <v>32</v>
      </c>
      <c r="I27" s="8" t="s">
        <v>195</v>
      </c>
      <c r="J27" s="10"/>
    </row>
    <row r="28" customFormat="false" ht="64.9" hidden="false" customHeight="false" outlineLevel="0" collapsed="false">
      <c r="A28" s="8" t="s">
        <v>196</v>
      </c>
      <c r="B28" s="8" t="s">
        <v>197</v>
      </c>
      <c r="C28" s="9" t="s">
        <v>198</v>
      </c>
      <c r="D28" s="8" t="s">
        <v>199</v>
      </c>
      <c r="E28" s="8" t="s">
        <v>200</v>
      </c>
      <c r="F28" s="8" t="s">
        <v>176</v>
      </c>
      <c r="G28" s="8"/>
      <c r="H28" s="8" t="s">
        <v>32</v>
      </c>
      <c r="I28" s="8" t="s">
        <v>201</v>
      </c>
      <c r="J28" s="10"/>
    </row>
    <row r="29" customFormat="false" ht="77.6" hidden="false" customHeight="false" outlineLevel="0" collapsed="false">
      <c r="A29" s="8" t="s">
        <v>202</v>
      </c>
      <c r="B29" s="8" t="s">
        <v>203</v>
      </c>
      <c r="C29" s="9" t="s">
        <v>204</v>
      </c>
      <c r="D29" s="8" t="s">
        <v>205</v>
      </c>
      <c r="E29" s="8" t="s">
        <v>206</v>
      </c>
      <c r="F29" s="8" t="s">
        <v>176</v>
      </c>
      <c r="G29" s="8"/>
      <c r="H29" s="9" t="s">
        <v>207</v>
      </c>
      <c r="I29" s="8" t="s">
        <v>208</v>
      </c>
      <c r="J29" s="10"/>
    </row>
    <row r="30" customFormat="false" ht="64.9" hidden="false" customHeight="false" outlineLevel="0" collapsed="false">
      <c r="A30" s="8" t="s">
        <v>209</v>
      </c>
      <c r="B30" s="8" t="s">
        <v>210</v>
      </c>
      <c r="C30" s="9" t="s">
        <v>211</v>
      </c>
      <c r="D30" s="8" t="s">
        <v>212</v>
      </c>
      <c r="E30" s="8" t="s">
        <v>213</v>
      </c>
      <c r="F30" s="8" t="s">
        <v>176</v>
      </c>
      <c r="G30" s="8"/>
      <c r="H30" s="9" t="s">
        <v>214</v>
      </c>
      <c r="I30" s="8" t="s">
        <v>215</v>
      </c>
      <c r="J30" s="10"/>
    </row>
    <row r="31" customFormat="false" ht="77.6" hidden="false" customHeight="false" outlineLevel="0" collapsed="false">
      <c r="A31" s="8" t="s">
        <v>216</v>
      </c>
      <c r="B31" s="8" t="s">
        <v>217</v>
      </c>
      <c r="C31" s="9" t="s">
        <v>218</v>
      </c>
      <c r="D31" s="8" t="s">
        <v>219</v>
      </c>
      <c r="E31" s="8" t="s">
        <v>220</v>
      </c>
      <c r="F31" s="8" t="s">
        <v>176</v>
      </c>
      <c r="G31" s="8"/>
      <c r="H31" s="8" t="s">
        <v>32</v>
      </c>
      <c r="I31" s="8" t="s">
        <v>221</v>
      </c>
      <c r="J31" s="10"/>
    </row>
    <row r="32" customFormat="false" ht="64.9" hidden="false" customHeight="false" outlineLevel="0" collapsed="false">
      <c r="A32" s="8" t="s">
        <v>222</v>
      </c>
      <c r="B32" s="8" t="s">
        <v>223</v>
      </c>
      <c r="C32" s="9" t="s">
        <v>224</v>
      </c>
      <c r="D32" s="8" t="s">
        <v>225</v>
      </c>
      <c r="E32" s="8" t="s">
        <v>226</v>
      </c>
      <c r="F32" s="8" t="s">
        <v>176</v>
      </c>
      <c r="G32" s="8"/>
      <c r="H32" s="8" t="s">
        <v>32</v>
      </c>
      <c r="I32" s="8" t="s">
        <v>227</v>
      </c>
      <c r="J32" s="10"/>
    </row>
    <row r="33" customFormat="false" ht="77.6" hidden="false" customHeight="false" outlineLevel="0" collapsed="false">
      <c r="A33" s="8" t="s">
        <v>228</v>
      </c>
      <c r="B33" s="8" t="s">
        <v>229</v>
      </c>
      <c r="C33" s="9" t="s">
        <v>230</v>
      </c>
      <c r="D33" s="8" t="s">
        <v>231</v>
      </c>
      <c r="E33" s="8" t="s">
        <v>232</v>
      </c>
      <c r="F33" s="8" t="s">
        <v>176</v>
      </c>
      <c r="G33" s="8"/>
      <c r="H33" s="8" t="s">
        <v>32</v>
      </c>
      <c r="I33" s="8" t="s">
        <v>233</v>
      </c>
      <c r="J33" s="10"/>
    </row>
    <row r="34" customFormat="false" ht="64.9" hidden="false" customHeight="false" outlineLevel="0" collapsed="false">
      <c r="A34" s="8" t="s">
        <v>234</v>
      </c>
      <c r="B34" s="8" t="s">
        <v>235</v>
      </c>
      <c r="C34" s="9" t="s">
        <v>236</v>
      </c>
      <c r="D34" s="8" t="s">
        <v>237</v>
      </c>
      <c r="E34" s="8" t="s">
        <v>238</v>
      </c>
      <c r="F34" s="8" t="s">
        <v>176</v>
      </c>
      <c r="G34" s="8"/>
      <c r="H34" s="8" t="s">
        <v>32</v>
      </c>
      <c r="I34" s="8" t="s">
        <v>239</v>
      </c>
      <c r="J34" s="10"/>
    </row>
    <row r="35" customFormat="false" ht="64.9" hidden="false" customHeight="false" outlineLevel="0" collapsed="false">
      <c r="A35" s="8" t="s">
        <v>240</v>
      </c>
      <c r="B35" s="8" t="s">
        <v>241</v>
      </c>
      <c r="C35" s="9" t="s">
        <v>242</v>
      </c>
      <c r="D35" s="8" t="s">
        <v>243</v>
      </c>
      <c r="E35" s="8" t="s">
        <v>244</v>
      </c>
      <c r="F35" s="8" t="s">
        <v>176</v>
      </c>
      <c r="G35" s="8"/>
      <c r="H35" s="8" t="s">
        <v>32</v>
      </c>
      <c r="I35" s="8" t="s">
        <v>245</v>
      </c>
      <c r="J35" s="10"/>
    </row>
    <row r="36" customFormat="false" ht="64.9" hidden="false" customHeight="false" outlineLevel="0" collapsed="false">
      <c r="A36" s="8" t="s">
        <v>246</v>
      </c>
      <c r="B36" s="8" t="s">
        <v>247</v>
      </c>
      <c r="C36" s="9" t="s">
        <v>248</v>
      </c>
      <c r="D36" s="8" t="s">
        <v>79</v>
      </c>
      <c r="E36" s="8" t="s">
        <v>249</v>
      </c>
      <c r="F36" s="8" t="s">
        <v>176</v>
      </c>
      <c r="G36" s="8"/>
      <c r="H36" s="8" t="s">
        <v>32</v>
      </c>
      <c r="I36" s="8" t="s">
        <v>250</v>
      </c>
      <c r="J36" s="10"/>
    </row>
    <row r="37" customFormat="false" ht="77.6" hidden="false" customHeight="false" outlineLevel="0" collapsed="false">
      <c r="A37" s="8" t="s">
        <v>251</v>
      </c>
      <c r="B37" s="8" t="s">
        <v>252</v>
      </c>
      <c r="C37" s="9" t="s">
        <v>253</v>
      </c>
      <c r="D37" s="8" t="s">
        <v>254</v>
      </c>
      <c r="E37" s="8" t="s">
        <v>255</v>
      </c>
      <c r="F37" s="8" t="s">
        <v>176</v>
      </c>
      <c r="G37" s="8"/>
      <c r="H37" s="8" t="s">
        <v>32</v>
      </c>
      <c r="I37" s="8" t="s">
        <v>256</v>
      </c>
      <c r="J37" s="10"/>
    </row>
    <row r="38" customFormat="false" ht="64.9" hidden="false" customHeight="false" outlineLevel="0" collapsed="false">
      <c r="A38" s="8" t="s">
        <v>257</v>
      </c>
      <c r="B38" s="8" t="s">
        <v>258</v>
      </c>
      <c r="C38" s="9" t="s">
        <v>259</v>
      </c>
      <c r="D38" s="8" t="s">
        <v>260</v>
      </c>
      <c r="E38" s="8" t="s">
        <v>261</v>
      </c>
      <c r="F38" s="8" t="s">
        <v>176</v>
      </c>
      <c r="G38" s="8"/>
      <c r="H38" s="8" t="s">
        <v>32</v>
      </c>
      <c r="I38" s="8" t="s">
        <v>262</v>
      </c>
      <c r="J38" s="10"/>
    </row>
    <row r="39" customFormat="false" ht="102.95" hidden="false" customHeight="false" outlineLevel="0" collapsed="false">
      <c r="A39" s="8" t="s">
        <v>263</v>
      </c>
      <c r="B39" s="8" t="s">
        <v>264</v>
      </c>
      <c r="C39" s="9" t="s">
        <v>265</v>
      </c>
      <c r="D39" s="8" t="s">
        <v>266</v>
      </c>
      <c r="E39" s="8" t="s">
        <v>267</v>
      </c>
      <c r="F39" s="8" t="s">
        <v>176</v>
      </c>
      <c r="G39" s="8"/>
      <c r="H39" s="8" t="s">
        <v>32</v>
      </c>
      <c r="I39" s="8" t="s">
        <v>268</v>
      </c>
      <c r="J39" s="10"/>
    </row>
    <row r="40" customFormat="false" ht="77.6" hidden="false" customHeight="false" outlineLevel="0" collapsed="false">
      <c r="A40" s="8" t="s">
        <v>269</v>
      </c>
      <c r="B40" s="8" t="s">
        <v>270</v>
      </c>
      <c r="C40" s="9" t="s">
        <v>271</v>
      </c>
      <c r="D40" s="8" t="s">
        <v>272</v>
      </c>
      <c r="E40" s="8" t="s">
        <v>273</v>
      </c>
      <c r="F40" s="8" t="s">
        <v>176</v>
      </c>
      <c r="G40" s="8"/>
      <c r="H40" s="8" t="s">
        <v>32</v>
      </c>
      <c r="I40" s="8" t="s">
        <v>274</v>
      </c>
      <c r="J40" s="10"/>
    </row>
    <row r="41" customFormat="false" ht="64.9" hidden="false" customHeight="false" outlineLevel="0" collapsed="false">
      <c r="A41" s="8" t="s">
        <v>275</v>
      </c>
      <c r="B41" s="8" t="s">
        <v>276</v>
      </c>
      <c r="C41" s="9" t="s">
        <v>277</v>
      </c>
      <c r="D41" s="8" t="s">
        <v>278</v>
      </c>
      <c r="E41" s="8" t="s">
        <v>279</v>
      </c>
      <c r="F41" s="8" t="s">
        <v>176</v>
      </c>
      <c r="G41" s="8"/>
      <c r="H41" s="8" t="s">
        <v>32</v>
      </c>
      <c r="I41" s="8" t="s">
        <v>280</v>
      </c>
      <c r="J41" s="10"/>
    </row>
    <row r="42" customFormat="false" ht="77.6" hidden="false" customHeight="false" outlineLevel="0" collapsed="false">
      <c r="A42" s="8" t="s">
        <v>281</v>
      </c>
      <c r="B42" s="8" t="s">
        <v>282</v>
      </c>
      <c r="C42" s="9" t="s">
        <v>283</v>
      </c>
      <c r="D42" s="8" t="s">
        <v>272</v>
      </c>
      <c r="E42" s="8" t="s">
        <v>284</v>
      </c>
      <c r="F42" s="8" t="s">
        <v>176</v>
      </c>
      <c r="G42" s="8"/>
      <c r="H42" s="8" t="s">
        <v>32</v>
      </c>
      <c r="I42" s="8" t="s">
        <v>285</v>
      </c>
      <c r="J42" s="10"/>
    </row>
    <row r="43" customFormat="false" ht="77.6" hidden="false" customHeight="false" outlineLevel="0" collapsed="false">
      <c r="A43" s="8" t="s">
        <v>286</v>
      </c>
      <c r="B43" s="8" t="s">
        <v>287</v>
      </c>
      <c r="C43" s="9" t="s">
        <v>288</v>
      </c>
      <c r="D43" s="8" t="s">
        <v>266</v>
      </c>
      <c r="E43" s="8" t="s">
        <v>289</v>
      </c>
      <c r="F43" s="8" t="s">
        <v>176</v>
      </c>
      <c r="G43" s="8"/>
      <c r="H43" s="8" t="s">
        <v>32</v>
      </c>
      <c r="I43" s="8" t="s">
        <v>290</v>
      </c>
      <c r="J43" s="10"/>
    </row>
    <row r="44" customFormat="false" ht="64.9" hidden="false" customHeight="false" outlineLevel="0" collapsed="false">
      <c r="A44" s="8" t="s">
        <v>291</v>
      </c>
      <c r="B44" s="8" t="s">
        <v>292</v>
      </c>
      <c r="C44" s="9" t="s">
        <v>293</v>
      </c>
      <c r="D44" s="8" t="s">
        <v>294</v>
      </c>
      <c r="E44" s="8" t="s">
        <v>295</v>
      </c>
      <c r="F44" s="8" t="s">
        <v>176</v>
      </c>
      <c r="G44" s="8"/>
      <c r="H44" s="9" t="s">
        <v>296</v>
      </c>
      <c r="I44" s="8" t="s">
        <v>297</v>
      </c>
      <c r="J44" s="10"/>
    </row>
    <row r="45" customFormat="false" ht="77.6" hidden="false" customHeight="false" outlineLevel="0" collapsed="false">
      <c r="A45" s="8" t="s">
        <v>298</v>
      </c>
      <c r="B45" s="8" t="s">
        <v>299</v>
      </c>
      <c r="C45" s="9" t="s">
        <v>300</v>
      </c>
      <c r="D45" s="8" t="s">
        <v>301</v>
      </c>
      <c r="E45" s="8" t="s">
        <v>302</v>
      </c>
      <c r="F45" s="8" t="s">
        <v>176</v>
      </c>
      <c r="G45" s="8"/>
      <c r="H45" s="8" t="s">
        <v>32</v>
      </c>
      <c r="I45" s="8" t="s">
        <v>303</v>
      </c>
      <c r="J45" s="10"/>
    </row>
    <row r="46" customFormat="false" ht="64.9" hidden="false" customHeight="false" outlineLevel="0" collapsed="false">
      <c r="A46" s="8" t="s">
        <v>304</v>
      </c>
      <c r="B46" s="8" t="s">
        <v>305</v>
      </c>
      <c r="C46" s="9" t="s">
        <v>306</v>
      </c>
      <c r="D46" s="8" t="s">
        <v>307</v>
      </c>
      <c r="E46" s="8" t="s">
        <v>308</v>
      </c>
      <c r="F46" s="8" t="s">
        <v>176</v>
      </c>
      <c r="G46" s="8"/>
      <c r="H46" s="9" t="s">
        <v>309</v>
      </c>
      <c r="I46" s="8" t="s">
        <v>310</v>
      </c>
      <c r="J46" s="10"/>
    </row>
    <row r="47" customFormat="false" ht="64.9" hidden="false" customHeight="false" outlineLevel="0" collapsed="false">
      <c r="A47" s="8" t="s">
        <v>311</v>
      </c>
      <c r="B47" s="8" t="s">
        <v>312</v>
      </c>
      <c r="C47" s="9" t="s">
        <v>313</v>
      </c>
      <c r="D47" s="8" t="s">
        <v>314</v>
      </c>
      <c r="E47" s="8" t="s">
        <v>315</v>
      </c>
      <c r="F47" s="8" t="s">
        <v>176</v>
      </c>
      <c r="G47" s="8"/>
      <c r="H47" s="9" t="s">
        <v>316</v>
      </c>
      <c r="I47" s="8" t="s">
        <v>317</v>
      </c>
      <c r="J47" s="10"/>
    </row>
    <row r="48" customFormat="false" ht="64.9" hidden="false" customHeight="false" outlineLevel="0" collapsed="false">
      <c r="A48" s="8" t="s">
        <v>318</v>
      </c>
      <c r="B48" s="8" t="s">
        <v>319</v>
      </c>
      <c r="C48" s="9" t="s">
        <v>320</v>
      </c>
      <c r="D48" s="8" t="s">
        <v>321</v>
      </c>
      <c r="E48" s="8" t="s">
        <v>322</v>
      </c>
      <c r="F48" s="8" t="s">
        <v>176</v>
      </c>
      <c r="G48" s="8"/>
      <c r="H48" s="9" t="s">
        <v>323</v>
      </c>
      <c r="I48" s="8" t="s">
        <v>324</v>
      </c>
      <c r="J48" s="10"/>
    </row>
    <row r="49" customFormat="false" ht="64.9" hidden="false" customHeight="false" outlineLevel="0" collapsed="false">
      <c r="A49" s="8" t="s">
        <v>325</v>
      </c>
      <c r="B49" s="8" t="s">
        <v>326</v>
      </c>
      <c r="C49" s="9" t="s">
        <v>327</v>
      </c>
      <c r="D49" s="8" t="s">
        <v>328</v>
      </c>
      <c r="E49" s="8" t="s">
        <v>329</v>
      </c>
      <c r="F49" s="8" t="s">
        <v>176</v>
      </c>
      <c r="G49" s="8"/>
      <c r="H49" s="8" t="s">
        <v>32</v>
      </c>
      <c r="I49" s="8" t="s">
        <v>330</v>
      </c>
      <c r="J49" s="10"/>
    </row>
    <row r="50" customFormat="false" ht="64.9" hidden="false" customHeight="false" outlineLevel="0" collapsed="false">
      <c r="A50" s="8" t="s">
        <v>331</v>
      </c>
      <c r="B50" s="8" t="s">
        <v>332</v>
      </c>
      <c r="C50" s="9" t="s">
        <v>333</v>
      </c>
      <c r="D50" s="8" t="s">
        <v>334</v>
      </c>
      <c r="E50" s="8" t="s">
        <v>335</v>
      </c>
      <c r="F50" s="8" t="s">
        <v>176</v>
      </c>
      <c r="G50" s="8"/>
      <c r="H50" s="9" t="s">
        <v>336</v>
      </c>
      <c r="I50" s="8" t="s">
        <v>337</v>
      </c>
      <c r="J50" s="10"/>
    </row>
    <row r="51" customFormat="false" ht="39.55" hidden="false" customHeight="false" outlineLevel="0" collapsed="false">
      <c r="A51" s="8" t="s">
        <v>338</v>
      </c>
      <c r="B51" s="8" t="s">
        <v>339</v>
      </c>
      <c r="C51" s="9" t="s">
        <v>340</v>
      </c>
      <c r="D51" s="8" t="s">
        <v>341</v>
      </c>
      <c r="E51" s="8" t="s">
        <v>342</v>
      </c>
      <c r="F51" s="8" t="s">
        <v>176</v>
      </c>
      <c r="G51" s="8"/>
      <c r="H51" s="8" t="s">
        <v>32</v>
      </c>
      <c r="I51" s="8" t="s">
        <v>343</v>
      </c>
      <c r="J51" s="10"/>
    </row>
    <row r="52" customFormat="false" ht="77.6" hidden="false" customHeight="false" outlineLevel="0" collapsed="false">
      <c r="A52" s="8" t="s">
        <v>344</v>
      </c>
      <c r="B52" s="8" t="s">
        <v>345</v>
      </c>
      <c r="C52" s="9" t="s">
        <v>346</v>
      </c>
      <c r="D52" s="8" t="s">
        <v>205</v>
      </c>
      <c r="E52" s="8" t="s">
        <v>347</v>
      </c>
      <c r="F52" s="8" t="s">
        <v>176</v>
      </c>
      <c r="G52" s="8"/>
      <c r="H52" s="9" t="s">
        <v>348</v>
      </c>
      <c r="I52" s="8" t="s">
        <v>349</v>
      </c>
      <c r="J52" s="10"/>
    </row>
    <row r="53" customFormat="false" ht="77.6" hidden="false" customHeight="false" outlineLevel="0" collapsed="false">
      <c r="A53" s="8" t="s">
        <v>350</v>
      </c>
      <c r="B53" s="8" t="s">
        <v>351</v>
      </c>
      <c r="C53" s="9" t="s">
        <v>352</v>
      </c>
      <c r="D53" s="8" t="s">
        <v>353</v>
      </c>
      <c r="E53" s="8" t="s">
        <v>354</v>
      </c>
      <c r="F53" s="8" t="s">
        <v>176</v>
      </c>
      <c r="G53" s="8"/>
      <c r="H53" s="8" t="s">
        <v>32</v>
      </c>
      <c r="I53" s="8" t="s">
        <v>355</v>
      </c>
      <c r="J53" s="10"/>
    </row>
    <row r="54" customFormat="false" ht="115.65" hidden="false" customHeight="false" outlineLevel="0" collapsed="false">
      <c r="A54" s="8" t="s">
        <v>356</v>
      </c>
      <c r="B54" s="8" t="s">
        <v>357</v>
      </c>
      <c r="C54" s="9" t="s">
        <v>358</v>
      </c>
      <c r="D54" s="8" t="s">
        <v>359</v>
      </c>
      <c r="E54" s="8" t="s">
        <v>360</v>
      </c>
      <c r="F54" s="8" t="s">
        <v>176</v>
      </c>
      <c r="G54" s="8"/>
      <c r="H54" s="8" t="s">
        <v>32</v>
      </c>
      <c r="I54" s="8" t="s">
        <v>361</v>
      </c>
      <c r="J54" s="10"/>
    </row>
    <row r="55" customFormat="false" ht="64.9" hidden="false" customHeight="false" outlineLevel="0" collapsed="false">
      <c r="A55" s="8" t="s">
        <v>362</v>
      </c>
      <c r="B55" s="8" t="s">
        <v>363</v>
      </c>
      <c r="C55" s="9" t="s">
        <v>364</v>
      </c>
      <c r="D55" s="8" t="s">
        <v>365</v>
      </c>
      <c r="E55" s="8" t="s">
        <v>366</v>
      </c>
      <c r="F55" s="8" t="s">
        <v>176</v>
      </c>
      <c r="G55" s="8"/>
      <c r="H55" s="9" t="s">
        <v>367</v>
      </c>
      <c r="I55" s="8" t="s">
        <v>368</v>
      </c>
      <c r="J55" s="10"/>
    </row>
    <row r="56" customFormat="false" ht="77.6" hidden="false" customHeight="false" outlineLevel="0" collapsed="false">
      <c r="A56" s="8" t="s">
        <v>369</v>
      </c>
      <c r="B56" s="8" t="s">
        <v>370</v>
      </c>
      <c r="C56" s="9" t="s">
        <v>371</v>
      </c>
      <c r="D56" s="8" t="s">
        <v>231</v>
      </c>
      <c r="E56" s="8" t="s">
        <v>372</v>
      </c>
      <c r="F56" s="8" t="s">
        <v>176</v>
      </c>
      <c r="G56" s="8"/>
      <c r="H56" s="8" t="s">
        <v>32</v>
      </c>
      <c r="I56" s="8" t="s">
        <v>373</v>
      </c>
      <c r="J56" s="10"/>
    </row>
    <row r="57" customFormat="false" ht="64.9" hidden="false" customHeight="false" outlineLevel="0" collapsed="false">
      <c r="A57" s="8" t="s">
        <v>374</v>
      </c>
      <c r="B57" s="8" t="s">
        <v>375</v>
      </c>
      <c r="C57" s="9" t="s">
        <v>376</v>
      </c>
      <c r="D57" s="8" t="s">
        <v>377</v>
      </c>
      <c r="E57" s="8" t="s">
        <v>378</v>
      </c>
      <c r="F57" s="8" t="s">
        <v>176</v>
      </c>
      <c r="G57" s="8"/>
      <c r="H57" s="9" t="s">
        <v>379</v>
      </c>
      <c r="I57" s="8" t="s">
        <v>380</v>
      </c>
      <c r="J57" s="10"/>
    </row>
    <row r="58" customFormat="false" ht="64.9" hidden="false" customHeight="false" outlineLevel="0" collapsed="false">
      <c r="A58" s="8" t="s">
        <v>381</v>
      </c>
      <c r="B58" s="8" t="s">
        <v>382</v>
      </c>
      <c r="C58" s="9" t="s">
        <v>383</v>
      </c>
      <c r="D58" s="8" t="s">
        <v>377</v>
      </c>
      <c r="E58" s="8" t="s">
        <v>384</v>
      </c>
      <c r="F58" s="8" t="s">
        <v>176</v>
      </c>
      <c r="G58" s="8"/>
      <c r="H58" s="9" t="s">
        <v>385</v>
      </c>
      <c r="I58" s="8" t="s">
        <v>386</v>
      </c>
      <c r="J58" s="10"/>
    </row>
    <row r="59" customFormat="false" ht="64.9" hidden="false" customHeight="false" outlineLevel="0" collapsed="false">
      <c r="A59" s="8" t="s">
        <v>387</v>
      </c>
      <c r="B59" s="8" t="s">
        <v>388</v>
      </c>
      <c r="C59" s="9" t="s">
        <v>389</v>
      </c>
      <c r="D59" s="8" t="s">
        <v>377</v>
      </c>
      <c r="E59" s="8" t="s">
        <v>390</v>
      </c>
      <c r="F59" s="8" t="s">
        <v>176</v>
      </c>
      <c r="G59" s="8"/>
      <c r="H59" s="8" t="s">
        <v>32</v>
      </c>
      <c r="I59" s="8" t="s">
        <v>391</v>
      </c>
      <c r="J59" s="10"/>
    </row>
    <row r="60" customFormat="false" ht="77.6" hidden="false" customHeight="false" outlineLevel="0" collapsed="false">
      <c r="A60" s="8" t="s">
        <v>392</v>
      </c>
      <c r="B60" s="8" t="s">
        <v>393</v>
      </c>
      <c r="C60" s="9" t="s">
        <v>394</v>
      </c>
      <c r="D60" s="8" t="s">
        <v>377</v>
      </c>
      <c r="E60" s="8" t="s">
        <v>395</v>
      </c>
      <c r="F60" s="8" t="s">
        <v>176</v>
      </c>
      <c r="G60" s="8"/>
      <c r="H60" s="8" t="s">
        <v>32</v>
      </c>
      <c r="I60" s="8" t="s">
        <v>396</v>
      </c>
      <c r="J60" s="10"/>
    </row>
    <row r="61" customFormat="false" ht="77.6" hidden="false" customHeight="false" outlineLevel="0" collapsed="false">
      <c r="A61" s="8" t="s">
        <v>397</v>
      </c>
      <c r="B61" s="8" t="s">
        <v>398</v>
      </c>
      <c r="C61" s="9" t="s">
        <v>399</v>
      </c>
      <c r="D61" s="8" t="s">
        <v>377</v>
      </c>
      <c r="E61" s="8" t="s">
        <v>400</v>
      </c>
      <c r="F61" s="8" t="s">
        <v>176</v>
      </c>
      <c r="G61" s="8"/>
      <c r="H61" s="8" t="s">
        <v>32</v>
      </c>
      <c r="I61" s="8" t="s">
        <v>401</v>
      </c>
      <c r="J61" s="10"/>
    </row>
    <row r="62" customFormat="false" ht="64.9" hidden="false" customHeight="false" outlineLevel="0" collapsed="false">
      <c r="A62" s="8" t="s">
        <v>402</v>
      </c>
      <c r="B62" s="8" t="s">
        <v>403</v>
      </c>
      <c r="C62" s="9" t="s">
        <v>404</v>
      </c>
      <c r="D62" s="8" t="s">
        <v>377</v>
      </c>
      <c r="E62" s="8" t="s">
        <v>405</v>
      </c>
      <c r="F62" s="8" t="s">
        <v>176</v>
      </c>
      <c r="G62" s="8"/>
      <c r="H62" s="8" t="s">
        <v>32</v>
      </c>
      <c r="I62" s="8" t="s">
        <v>406</v>
      </c>
      <c r="J62" s="10"/>
    </row>
    <row r="63" customFormat="false" ht="77.6" hidden="false" customHeight="false" outlineLevel="0" collapsed="false">
      <c r="A63" s="8" t="s">
        <v>407</v>
      </c>
      <c r="B63" s="8" t="s">
        <v>408</v>
      </c>
      <c r="C63" s="9" t="s">
        <v>409</v>
      </c>
      <c r="D63" s="8"/>
      <c r="E63" s="8"/>
      <c r="F63" s="8" t="s">
        <v>410</v>
      </c>
      <c r="G63" s="8"/>
      <c r="H63" s="8" t="s">
        <v>32</v>
      </c>
      <c r="I63" s="8" t="s">
        <v>411</v>
      </c>
      <c r="J63" s="10"/>
    </row>
    <row r="64" customFormat="false" ht="64.9" hidden="false" customHeight="false" outlineLevel="0" collapsed="false">
      <c r="A64" s="8" t="s">
        <v>412</v>
      </c>
      <c r="B64" s="8" t="s">
        <v>413</v>
      </c>
      <c r="C64" s="8"/>
      <c r="D64" s="8"/>
      <c r="E64" s="8"/>
      <c r="F64" s="8" t="s">
        <v>414</v>
      </c>
      <c r="G64" s="8"/>
      <c r="H64" s="8" t="s">
        <v>415</v>
      </c>
      <c r="I64" s="8" t="s">
        <v>416</v>
      </c>
      <c r="J64" s="10"/>
    </row>
    <row r="65" customFormat="false" ht="26.85" hidden="false" customHeight="false" outlineLevel="0" collapsed="false">
      <c r="A65" s="8" t="s">
        <v>417</v>
      </c>
      <c r="B65" s="8" t="s">
        <v>418</v>
      </c>
      <c r="C65" s="8"/>
      <c r="D65" s="8"/>
      <c r="E65" s="8"/>
      <c r="F65" s="8" t="s">
        <v>414</v>
      </c>
      <c r="G65" s="8"/>
      <c r="H65" s="8" t="s">
        <v>415</v>
      </c>
      <c r="I65" s="8" t="s">
        <v>419</v>
      </c>
      <c r="J65" s="10"/>
    </row>
    <row r="66" customFormat="false" ht="64.9" hidden="false" customHeight="false" outlineLevel="0" collapsed="false">
      <c r="A66" s="8" t="s">
        <v>420</v>
      </c>
      <c r="B66" s="8" t="s">
        <v>421</v>
      </c>
      <c r="C66" s="8"/>
      <c r="D66" s="8"/>
      <c r="E66" s="8"/>
      <c r="F66" s="8" t="s">
        <v>414</v>
      </c>
      <c r="G66" s="8"/>
      <c r="H66" s="8" t="s">
        <v>415</v>
      </c>
      <c r="I66" s="8" t="s">
        <v>422</v>
      </c>
      <c r="J66" s="10"/>
    </row>
  </sheetData>
  <autoFilter ref="A1:J66"/>
  <hyperlinks>
    <hyperlink ref="C2" r:id="rId1" display="https://www.youtube.com/watch?v=FZvvs9rx4gs"/>
    <hyperlink ref="C3" r:id="rId2" display="https://www.youtube.com/watch?v=6k9VQNN8B5U"/>
    <hyperlink ref="C4" r:id="rId3" display="https://www.youtube.com/watch?v=VzHQUh5jzsI"/>
    <hyperlink ref="C5" r:id="rId4" display="https://www.youtube.com/watch?v=KLb758dtKwU"/>
    <hyperlink ref="H5" r:id="rId5" display="https://raw.githubusercontent.com/yuhonas/free-exercise-db/main/exercises/Band_Pull_Apart/0.jpg"/>
    <hyperlink ref="C6" r:id="rId6" display="https://www.youtube.com/watch?v=G-bxQY57mKc"/>
    <hyperlink ref="H6" r:id="rId7" display="https://raw.githubusercontent.com/yuhonas/free-exercise-db/main/exercises/Front_Box_Jump/1.jpg"/>
    <hyperlink ref="C7" r:id="rId8" display="https://www.youtube.com/watch?v=dVgtvAXeBQw"/>
    <hyperlink ref="C8" r:id="rId9" display="https://www.youtube.com/watch?v=OeLb503NZHk"/>
    <hyperlink ref="H8" r:id="rId10" display="https://raw.githubusercontent.com/yuhonas/free-exercise-db/main/exercises/Seated_Cable_Rows/0.jpg"/>
    <hyperlink ref="C9" r:id="rId11" display="https://www.youtube.com/watch?v=oSkF3CCExnY"/>
    <hyperlink ref="C10" r:id="rId12" display="https://www.youtube.com/watch?v=4HqMXMn3FBk"/>
    <hyperlink ref="H10" r:id="rId13" display="https://raw.githubusercontent.com/yuhonas/free-exercise-db/main/exercises/External_Rotation_with_Band/1.jpg"/>
    <hyperlink ref="C11" r:id="rId14" display="https://www.youtube.com/watch?v=dfPY10zCZxQ"/>
    <hyperlink ref="C12" r:id="rId15" display="https://www.youtube.com/watch?v=NH7Xv-7NQNQ"/>
    <hyperlink ref="H12" r:id="rId16" display="https://raw.githubusercontent.com/yuhonas/free-exercise-db/main/exercises/Farmers_Walk/1.jpg"/>
    <hyperlink ref="C13" r:id="rId17" display="https://www.youtube.com/watch?v=xjWfi4S6yOI"/>
    <hyperlink ref="C14" r:id="rId18" display="https://www.youtube.com/watch?v=mJObkwsEkWs"/>
    <hyperlink ref="H14" r:id="rId19" display="https://raw.githubusercontent.com/yuhonas/free-exercise-db/main/exercises/Barbell_Hip_Thrust/0.jpg"/>
    <hyperlink ref="C15" r:id="rId20" display="https://www.youtube.com/watch?v=5kyLUGVq_pk"/>
    <hyperlink ref="H15" r:id="rId21" display="https://raw.githubusercontent.com/yuhonas/free-exercise-db/main/exercises/Barbell_Incline_Bench_Press_-_Medium_Grip/0.jpg"/>
    <hyperlink ref="C16" r:id="rId22" display="https://www.youtube.com/watch?v=3r0Kd3G4kek"/>
    <hyperlink ref="C17" r:id="rId23" display="https://www.youtube.com/watch?v=pgrWjBfaFe8"/>
    <hyperlink ref="H17" r:id="rId24" display="https://raw.githubusercontent.com/yuhonas/free-exercise-db/main/exercises/Side_Lateral_Raise/1.jpg"/>
    <hyperlink ref="C18" r:id="rId25" display="https://www.youtube.com/watch?v=4RkHIxk-K8Q"/>
    <hyperlink ref="C19" r:id="rId26" display="https://www.youtube.com/watch?v=KEAS2bypjFg"/>
    <hyperlink ref="H19" r:id="rId27" display="https://raw.githubusercontent.com/yuhonas/free-exercise-db/main/exercises/Standing_Military_Press/1.jpg"/>
    <hyperlink ref="C20" r:id="rId28" display="https://www.youtube.com/watch?v=RhdUV4F_ybM"/>
    <hyperlink ref="C21" r:id="rId29" display="https://www.youtube.com/watch?v=DY4wvmSDP0g"/>
    <hyperlink ref="C22" r:id="rId30" display="https://www.youtube.com/watch?v=6IWGetY9qLw"/>
    <hyperlink ref="C23" r:id="rId31" display="https://www.youtube.com/watch?v=j2r4iMy8Hb0"/>
    <hyperlink ref="C24" r:id="rId32" display="https://www.youtube.com/watch?v=JNHxkeRmMws"/>
    <hyperlink ref="C25" r:id="rId33" display="https://www.youtube.com/watch?v=MHc-rbfSbwk"/>
    <hyperlink ref="C26" r:id="rId34" display="https://www.youtube.com/watch?v=YRPh_GaiL8s"/>
    <hyperlink ref="C27" r:id="rId35" display="https://www.youtube.com/watch?v=WKo4APrwfXQ"/>
    <hyperlink ref="C28" r:id="rId36" display="https://www.youtube.com/watch?v=jBZCzK9zlxk"/>
    <hyperlink ref="C29" r:id="rId37" display="https://www.youtube.com/watch?v=XxWcirHIwVo"/>
    <hyperlink ref="H29" r:id="rId38" display="https://raw.githubusercontent.com/yuhonas/free-exercise-db/main/exercises/Barbell_Deadlift/0.jpg"/>
    <hyperlink ref="C30" r:id="rId39" display="https://www.youtube.com/watch?v=ljgqer1ZpXg"/>
    <hyperlink ref="H30" r:id="rId40" display="https://raw.githubusercontent.com/yuhonas/free-exercise-db/main/exercises/Face_Pull/0.jpg"/>
    <hyperlink ref="C31" r:id="rId41" display="https://www.youtube.com/watch?v=Un4TtjbHLjg"/>
    <hyperlink ref="C32" r:id="rId42" display="https://www.youtube.com/watch?v=Oc6gHIS7Qos"/>
    <hyperlink ref="C33" r:id="rId43" display="https://www.youtube.com/watch?v=5KaDOUeMY98"/>
    <hyperlink ref="C34" r:id="rId44" display="https://www.youtube.com/watch?v=h_wtmUMu0MU"/>
    <hyperlink ref="C35" r:id="rId45" display="https://www.youtube.com/watch?v=2W7Dhf6n5aM"/>
    <hyperlink ref="C36" r:id="rId46" display="https://www.youtube.com/watch?v=B6--yoHH_Mw"/>
    <hyperlink ref="C37" r:id="rId47" display="https://www.youtube.com/watch?v=t4Zz6-aG8Iw"/>
    <hyperlink ref="C38" r:id="rId48" display="https://www.youtube.com/watch?v=HAfUt2Cco74"/>
    <hyperlink ref="C39" r:id="rId49" display="https://www.youtube.com/watch?v=SHYDbOLrU1w"/>
    <hyperlink ref="C40" r:id="rId50" display="https://www.youtube.com/watch?v=nkAMDSNXCxY"/>
    <hyperlink ref="C41" r:id="rId51" display="https://www.youtube.com/watch?v=Mf04OllYlOM"/>
    <hyperlink ref="C42" r:id="rId52" display="https://www.youtube.com/watch?v=rDeneW2EoxQ"/>
    <hyperlink ref="C43" r:id="rId53" display="https://www.youtube.com/watch?v=SSbNtVfMdgM"/>
    <hyperlink ref="C44" r:id="rId54" display="https://www.youtube.com/watch?v=lsMGmkvzFsE"/>
    <hyperlink ref="H44" r:id="rId55" display="https://raw.githubusercontent.com/yuhonas/free-exercise-db/main/exercises/Overhead_Slam/1.jpg"/>
    <hyperlink ref="C45" r:id="rId56" display="https://www.youtube.com/watch?v=DTopAJ7iwMg"/>
    <hyperlink ref="C46" r:id="rId57" display="https://www.youtube.com/watch?v=CHRUb43S6RM"/>
    <hyperlink ref="H46" r:id="rId58" display="https://raw.githubusercontent.com/yuhonas/free-exercise-db/main/exercises/The_Straddle/0.jpg"/>
    <hyperlink ref="C47" r:id="rId59" display="https://www.youtube.com/watch?v=A2b2EmIg0dA"/>
    <hyperlink ref="H47" r:id="rId60" display="https://raw.githubusercontent.com/yuhonas/free-exercise-db/main/exercises/Plank/1.jpg"/>
    <hyperlink ref="C48" r:id="rId61" display="https://www.youtube.com/watch?v=rmdn5X_KLkY"/>
    <hyperlink ref="H48" r:id="rId62" display="https://raw.githubusercontent.com/yuhonas/free-exercise-db/main/exercises/Pullups/1.jpg"/>
    <hyperlink ref="C49" r:id="rId63" display="https://www.youtube.com/watch?v=EX_XDq71IGQ"/>
    <hyperlink ref="C50" r:id="rId64" display="https://www.youtube.com/watch?v=iZ1eZBY4fwM"/>
    <hyperlink ref="H50" r:id="rId65" display="https://raw.githubusercontent.com/yuhonas/free-exercise-db/main/exercises/Kneeling_Hip_Flexor/0.jpg"/>
    <hyperlink ref="C51" r:id="rId66" display="https://www.youtube.com/watch?v=z-BH_95_f-w"/>
    <hyperlink ref="C52" r:id="rId67" display="https://www.youtube.com/watch?v=gcNh17Ckjgg"/>
    <hyperlink ref="H52" r:id="rId68" display="https://raw.githubusercontent.com/yuhonas/free-exercise-db/main/exercises/Barbell_Full_Squat/1.jpg"/>
    <hyperlink ref="C53" r:id="rId69" display="https://www.youtube.com/watch?v=hDYp3U8b1nU"/>
    <hyperlink ref="C54" r:id="rId70" display="https://www.youtube.com/watch?v=FeUioDuJjFI"/>
    <hyperlink ref="C55" r:id="rId71" display="https://www.youtube.com/watch?v=KoS_NMmuxMM"/>
    <hyperlink ref="H55" r:id="rId72" display="https://raw.githubusercontent.com/yuhonas/free-exercise-db/main/exercises/Dips_-_Triceps_Version/0.jpg"/>
    <hyperlink ref="C56" r:id="rId73" display="https://www.youtube.com/watch?v=mSZWSQSSEjE"/>
    <hyperlink ref="C57" r:id="rId74" display="https://www.youtube.com/watch?v=y39PrKY_4JM"/>
    <hyperlink ref="H57" r:id="rId75" display="https://raw.githubusercontent.com/yuhonas/free-exercise-db/main/exercises/Cat_Stretch/0.jpg"/>
    <hyperlink ref="C58" r:id="rId76" display="https://www.youtube.com/watch?v=eqVMAPM00DM"/>
    <hyperlink ref="H58" r:id="rId77" display="https://raw.githubusercontent.com/yuhonas/free-exercise-db/main/exercises/Childs_Pose/0.jpg"/>
    <hyperlink ref="C59" r:id="rId78" display="https://www.youtube.com/watch?v=_OQEIiZLY-0"/>
    <hyperlink ref="C60" r:id="rId79" display="https://www.youtube.com/watch?v=0_zPqA65Nok"/>
    <hyperlink ref="C61" r:id="rId80" display="https://www.youtube.com/watch?v=mKC3IeldPOc"/>
    <hyperlink ref="C62" r:id="rId81" display="https://www.youtube.com/watch?v=g7Uhp5tphAs"/>
    <hyperlink ref="C63" r:id="rId82" display="https://www.youtube.com/watch?v=HoE-C85Zl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40"/>
    <col collapsed="false" customWidth="true" hidden="false" outlineLevel="0" max="4" min="4" style="1" width="32"/>
    <col collapsed="false" customWidth="true" hidden="false" outlineLevel="0" max="5" min="5" style="1" width="9"/>
    <col collapsed="false" customWidth="true" hidden="false" outlineLevel="0" max="6" min="6" style="1" width="26"/>
    <col collapsed="false" customWidth="true" hidden="false" outlineLevel="0" max="7" min="7" style="1" width="18"/>
    <col collapsed="false" customWidth="true" hidden="false" outlineLevel="0" max="8" min="8" style="1" width="10"/>
    <col collapsed="false" customWidth="true" hidden="false" outlineLevel="0" max="9" min="9" style="1" width="30"/>
    <col collapsed="false" customWidth="true" hidden="false" outlineLevel="0" max="11" min="10" style="1" width="10"/>
    <col collapsed="false" customWidth="true" hidden="false" outlineLevel="0" max="13" min="12" style="1" width="40"/>
    <col collapsed="false" customWidth="true" hidden="false" outlineLevel="0" max="14" min="14" style="1" width="9"/>
  </cols>
  <sheetData>
    <row r="1" customFormat="false" ht="15" hidden="false" customHeight="true" outlineLevel="0" collapsed="false">
      <c r="A1" s="5" t="s">
        <v>3</v>
      </c>
      <c r="B1" s="5" t="s">
        <v>15</v>
      </c>
      <c r="C1" s="5" t="s">
        <v>16</v>
      </c>
      <c r="D1" s="5" t="s">
        <v>423</v>
      </c>
      <c r="E1" s="5" t="s">
        <v>424</v>
      </c>
      <c r="F1" s="5" t="s">
        <v>425</v>
      </c>
      <c r="G1" s="5" t="s">
        <v>426</v>
      </c>
      <c r="H1" s="5" t="s">
        <v>427</v>
      </c>
      <c r="I1" s="5" t="s">
        <v>428</v>
      </c>
      <c r="J1" s="5" t="s">
        <v>429</v>
      </c>
      <c r="K1" s="5" t="s">
        <v>430</v>
      </c>
      <c r="L1" s="5" t="s">
        <v>431</v>
      </c>
      <c r="M1" s="5" t="s">
        <v>432</v>
      </c>
      <c r="N1" s="5" t="s">
        <v>433</v>
      </c>
    </row>
    <row r="2" customFormat="false" ht="15" hidden="false" customHeight="true" outlineLevel="0" collapsed="false">
      <c r="A2" s="11" t="s">
        <v>8</v>
      </c>
      <c r="B2" s="11" t="s">
        <v>257</v>
      </c>
      <c r="C2" s="11" t="s">
        <v>258</v>
      </c>
      <c r="D2" s="11" t="s">
        <v>434</v>
      </c>
      <c r="E2" s="11" t="s">
        <v>435</v>
      </c>
      <c r="F2" s="11" t="s">
        <v>436</v>
      </c>
      <c r="G2" s="11" t="s">
        <v>437</v>
      </c>
      <c r="H2" s="11" t="s">
        <v>438</v>
      </c>
      <c r="I2" s="11"/>
      <c r="J2" s="12" t="s">
        <v>439</v>
      </c>
      <c r="K2" s="12" t="s">
        <v>439</v>
      </c>
      <c r="L2" s="13" t="s">
        <v>259</v>
      </c>
      <c r="M2" s="13" t="s">
        <v>440</v>
      </c>
      <c r="N2" s="11" t="str">
        <f aca="false">IF(AND(L2&lt;&gt;"",M2&lt;&gt;""),"yes",IF(OR(L2&lt;&gt;"",M2&lt;&gt;""),"partial","no"))</f>
        <v>yes</v>
      </c>
    </row>
    <row r="3" customFormat="false" ht="15" hidden="false" customHeight="true" outlineLevel="0" collapsed="false">
      <c r="A3" s="11" t="s">
        <v>8</v>
      </c>
      <c r="B3" s="11" t="s">
        <v>196</v>
      </c>
      <c r="C3" s="11" t="s">
        <v>197</v>
      </c>
      <c r="D3" s="11" t="s">
        <v>441</v>
      </c>
      <c r="E3" s="11" t="s">
        <v>435</v>
      </c>
      <c r="F3" s="11" t="s">
        <v>436</v>
      </c>
      <c r="G3" s="11" t="s">
        <v>437</v>
      </c>
      <c r="H3" s="11" t="s">
        <v>438</v>
      </c>
      <c r="I3" s="11"/>
      <c r="J3" s="12" t="s">
        <v>439</v>
      </c>
      <c r="K3" s="12" t="s">
        <v>439</v>
      </c>
      <c r="L3" s="13" t="s">
        <v>198</v>
      </c>
      <c r="M3" s="13" t="s">
        <v>440</v>
      </c>
      <c r="N3" s="11" t="str">
        <f aca="false">IF(AND(L3&lt;&gt;"",M3&lt;&gt;""),"yes",IF(OR(L3&lt;&gt;"",M3&lt;&gt;""),"partial","no"))</f>
        <v>yes</v>
      </c>
    </row>
    <row r="4" customFormat="false" ht="15" hidden="false" customHeight="true" outlineLevel="0" collapsed="false">
      <c r="A4" s="11" t="s">
        <v>8</v>
      </c>
      <c r="B4" s="11" t="s">
        <v>420</v>
      </c>
      <c r="C4" s="11" t="s">
        <v>421</v>
      </c>
      <c r="D4" s="11" t="s">
        <v>442</v>
      </c>
      <c r="E4" s="11" t="s">
        <v>435</v>
      </c>
      <c r="F4" s="11" t="s">
        <v>443</v>
      </c>
      <c r="G4" s="11" t="s">
        <v>437</v>
      </c>
      <c r="H4" s="11" t="s">
        <v>438</v>
      </c>
      <c r="I4" s="11" t="s">
        <v>444</v>
      </c>
      <c r="J4" s="12" t="s">
        <v>439</v>
      </c>
      <c r="K4" s="12" t="s">
        <v>439</v>
      </c>
      <c r="L4" s="13"/>
      <c r="M4" s="13"/>
      <c r="N4" s="11" t="str">
        <f aca="false">IF(AND(L4&lt;&gt;"",M4&lt;&gt;""),"yes",IF(OR(L4&lt;&gt;"",M4&lt;&gt;""),"partial","no"))</f>
        <v>no</v>
      </c>
    </row>
    <row r="5" customFormat="false" ht="15" hidden="false" customHeight="true" outlineLevel="0" collapsed="false">
      <c r="A5" s="11" t="s">
        <v>8</v>
      </c>
      <c r="B5" s="11" t="s">
        <v>412</v>
      </c>
      <c r="C5" s="11" t="s">
        <v>413</v>
      </c>
      <c r="D5" s="11" t="s">
        <v>445</v>
      </c>
      <c r="E5" s="11" t="s">
        <v>435</v>
      </c>
      <c r="F5" s="11" t="s">
        <v>443</v>
      </c>
      <c r="G5" s="11" t="s">
        <v>437</v>
      </c>
      <c r="H5" s="11" t="s">
        <v>438</v>
      </c>
      <c r="I5" s="11" t="s">
        <v>444</v>
      </c>
      <c r="J5" s="12" t="s">
        <v>439</v>
      </c>
      <c r="K5" s="12" t="s">
        <v>439</v>
      </c>
      <c r="L5" s="13"/>
      <c r="M5" s="13"/>
      <c r="N5" s="11" t="str">
        <f aca="false">IF(AND(L5&lt;&gt;"",M5&lt;&gt;""),"yes",IF(OR(L5&lt;&gt;"",M5&lt;&gt;""),"partial","no"))</f>
        <v>no</v>
      </c>
    </row>
    <row r="6" customFormat="false" ht="15" hidden="false" customHeight="true" outlineLevel="0" collapsed="false">
      <c r="A6" s="11" t="s">
        <v>8</v>
      </c>
      <c r="B6" s="11" t="s">
        <v>122</v>
      </c>
      <c r="C6" s="11" t="s">
        <v>123</v>
      </c>
      <c r="D6" s="11" t="s">
        <v>445</v>
      </c>
      <c r="E6" s="11" t="s">
        <v>435</v>
      </c>
      <c r="F6" s="11" t="s">
        <v>443</v>
      </c>
      <c r="G6" s="11" t="s">
        <v>437</v>
      </c>
      <c r="H6" s="11" t="s">
        <v>438</v>
      </c>
      <c r="I6" s="11" t="s">
        <v>444</v>
      </c>
      <c r="J6" s="12" t="s">
        <v>439</v>
      </c>
      <c r="K6" s="12" t="s">
        <v>439</v>
      </c>
      <c r="L6" s="13" t="s">
        <v>124</v>
      </c>
      <c r="M6" s="13" t="s">
        <v>440</v>
      </c>
      <c r="N6" s="11" t="str">
        <f aca="false">IF(AND(L6&lt;&gt;"",M6&lt;&gt;""),"yes",IF(OR(L6&lt;&gt;"",M6&lt;&gt;""),"partial","no"))</f>
        <v>yes</v>
      </c>
    </row>
    <row r="7" customFormat="false" ht="15" hidden="false" customHeight="true" outlineLevel="0" collapsed="false">
      <c r="A7" s="11" t="s">
        <v>8</v>
      </c>
      <c r="B7" s="11" t="s">
        <v>350</v>
      </c>
      <c r="C7" s="11" t="s">
        <v>351</v>
      </c>
      <c r="D7" s="11" t="s">
        <v>445</v>
      </c>
      <c r="E7" s="11" t="s">
        <v>435</v>
      </c>
      <c r="F7" s="11" t="s">
        <v>446</v>
      </c>
      <c r="G7" s="11" t="s">
        <v>437</v>
      </c>
      <c r="H7" s="11" t="s">
        <v>438</v>
      </c>
      <c r="I7" s="11" t="s">
        <v>444</v>
      </c>
      <c r="J7" s="12" t="s">
        <v>439</v>
      </c>
      <c r="K7" s="12" t="s">
        <v>439</v>
      </c>
      <c r="L7" s="13" t="s">
        <v>352</v>
      </c>
      <c r="M7" s="13" t="s">
        <v>440</v>
      </c>
      <c r="N7" s="11" t="str">
        <f aca="false">IF(AND(L7&lt;&gt;"",M7&lt;&gt;""),"yes",IF(OR(L7&lt;&gt;"",M7&lt;&gt;""),"partial","no"))</f>
        <v>yes</v>
      </c>
    </row>
    <row r="8" customFormat="false" ht="15" hidden="false" customHeight="true" outlineLevel="0" collapsed="false">
      <c r="A8" s="11" t="s">
        <v>8</v>
      </c>
      <c r="B8" s="11" t="s">
        <v>417</v>
      </c>
      <c r="C8" s="11" t="s">
        <v>418</v>
      </c>
      <c r="D8" s="11" t="s">
        <v>447</v>
      </c>
      <c r="E8" s="11" t="s">
        <v>435</v>
      </c>
      <c r="F8" s="11" t="s">
        <v>436</v>
      </c>
      <c r="G8" s="11" t="s">
        <v>438</v>
      </c>
      <c r="H8" s="11" t="s">
        <v>438</v>
      </c>
      <c r="I8" s="11" t="s">
        <v>444</v>
      </c>
      <c r="J8" s="12" t="s">
        <v>439</v>
      </c>
      <c r="K8" s="12" t="s">
        <v>439</v>
      </c>
      <c r="L8" s="13"/>
      <c r="M8" s="13"/>
      <c r="N8" s="11" t="str">
        <f aca="false">IF(AND(L8&lt;&gt;"",M8&lt;&gt;""),"yes",IF(OR(L8&lt;&gt;"",M8&lt;&gt;""),"partial","no"))</f>
        <v>no</v>
      </c>
    </row>
    <row r="9" customFormat="false" ht="15" hidden="false" customHeight="true" outlineLevel="0" collapsed="false">
      <c r="A9" s="11" t="s">
        <v>8</v>
      </c>
      <c r="B9" s="11" t="s">
        <v>240</v>
      </c>
      <c r="C9" s="11" t="s">
        <v>241</v>
      </c>
      <c r="D9" s="11" t="s">
        <v>448</v>
      </c>
      <c r="E9" s="11" t="s">
        <v>435</v>
      </c>
      <c r="F9" s="11" t="s">
        <v>449</v>
      </c>
      <c r="G9" s="11" t="s">
        <v>437</v>
      </c>
      <c r="H9" s="11" t="s">
        <v>438</v>
      </c>
      <c r="I9" s="11"/>
      <c r="J9" s="12" t="s">
        <v>439</v>
      </c>
      <c r="K9" s="12" t="s">
        <v>439</v>
      </c>
      <c r="L9" s="13" t="s">
        <v>242</v>
      </c>
      <c r="M9" s="13" t="s">
        <v>440</v>
      </c>
      <c r="N9" s="11" t="str">
        <f aca="false">IF(AND(L9&lt;&gt;"",M9&lt;&gt;""),"yes",IF(OR(L9&lt;&gt;"",M9&lt;&gt;""),"partial","no"))</f>
        <v>yes</v>
      </c>
    </row>
    <row r="10" customFormat="false" ht="15" hidden="false" customHeight="true" outlineLevel="0" collapsed="false">
      <c r="A10" s="11" t="s">
        <v>8</v>
      </c>
      <c r="B10" s="11" t="s">
        <v>246</v>
      </c>
      <c r="C10" s="11" t="s">
        <v>247</v>
      </c>
      <c r="D10" s="11" t="s">
        <v>448</v>
      </c>
      <c r="E10" s="11" t="s">
        <v>435</v>
      </c>
      <c r="F10" s="11" t="s">
        <v>449</v>
      </c>
      <c r="G10" s="11" t="s">
        <v>437</v>
      </c>
      <c r="H10" s="11" t="s">
        <v>438</v>
      </c>
      <c r="I10" s="11"/>
      <c r="J10" s="12" t="s">
        <v>439</v>
      </c>
      <c r="K10" s="12" t="s">
        <v>439</v>
      </c>
      <c r="L10" s="13" t="s">
        <v>248</v>
      </c>
      <c r="M10" s="13" t="s">
        <v>440</v>
      </c>
      <c r="N10" s="11" t="str">
        <f aca="false">IF(AND(L10&lt;&gt;"",M10&lt;&gt;""),"yes",IF(OR(L10&lt;&gt;"",M10&lt;&gt;""),"partial","no"))</f>
        <v>yes</v>
      </c>
    </row>
    <row r="11" customFormat="false" ht="15" hidden="false" customHeight="true" outlineLevel="0" collapsed="false">
      <c r="A11" s="11" t="s">
        <v>8</v>
      </c>
      <c r="B11" s="11" t="s">
        <v>103</v>
      </c>
      <c r="C11" s="11" t="s">
        <v>104</v>
      </c>
      <c r="D11" s="11" t="s">
        <v>448</v>
      </c>
      <c r="E11" s="11" t="s">
        <v>435</v>
      </c>
      <c r="F11" s="11" t="s">
        <v>449</v>
      </c>
      <c r="G11" s="11" t="s">
        <v>437</v>
      </c>
      <c r="H11" s="11" t="s">
        <v>438</v>
      </c>
      <c r="I11" s="11"/>
      <c r="J11" s="12" t="s">
        <v>439</v>
      </c>
      <c r="K11" s="12" t="s">
        <v>439</v>
      </c>
      <c r="L11" s="13" t="s">
        <v>105</v>
      </c>
      <c r="M11" s="13" t="s">
        <v>440</v>
      </c>
      <c r="N11" s="11" t="str">
        <f aca="false">IF(AND(L11&lt;&gt;"",M11&lt;&gt;""),"yes",IF(OR(L11&lt;&gt;"",M11&lt;&gt;""),"partial","no"))</f>
        <v>yes</v>
      </c>
    </row>
    <row r="12" customFormat="false" ht="15" hidden="false" customHeight="true" outlineLevel="0" collapsed="false">
      <c r="A12" s="11" t="s">
        <v>8</v>
      </c>
      <c r="B12" s="11" t="s">
        <v>190</v>
      </c>
      <c r="C12" s="11" t="s">
        <v>191</v>
      </c>
      <c r="D12" s="11" t="s">
        <v>450</v>
      </c>
      <c r="E12" s="11" t="s">
        <v>435</v>
      </c>
      <c r="F12" s="11" t="s">
        <v>449</v>
      </c>
      <c r="G12" s="11" t="s">
        <v>437</v>
      </c>
      <c r="H12" s="11" t="s">
        <v>438</v>
      </c>
      <c r="I12" s="11"/>
      <c r="J12" s="12" t="s">
        <v>439</v>
      </c>
      <c r="K12" s="12" t="s">
        <v>439</v>
      </c>
      <c r="L12" s="13" t="s">
        <v>192</v>
      </c>
      <c r="M12" s="13" t="s">
        <v>440</v>
      </c>
      <c r="N12" s="11" t="str">
        <f aca="false">IF(AND(L12&lt;&gt;"",M12&lt;&gt;""),"yes",IF(OR(L12&lt;&gt;"",M12&lt;&gt;""),"partial","no"))</f>
        <v>yes</v>
      </c>
    </row>
    <row r="13" customFormat="false" ht="15" hidden="false" customHeight="true" outlineLevel="0" collapsed="false">
      <c r="A13" s="11" t="s">
        <v>8</v>
      </c>
      <c r="B13" s="11" t="s">
        <v>251</v>
      </c>
      <c r="C13" s="11" t="s">
        <v>252</v>
      </c>
      <c r="D13" s="11" t="s">
        <v>450</v>
      </c>
      <c r="E13" s="11" t="s">
        <v>435</v>
      </c>
      <c r="F13" s="11" t="s">
        <v>449</v>
      </c>
      <c r="G13" s="11" t="s">
        <v>437</v>
      </c>
      <c r="H13" s="11" t="s">
        <v>438</v>
      </c>
      <c r="I13" s="11"/>
      <c r="J13" s="12" t="s">
        <v>439</v>
      </c>
      <c r="K13" s="12" t="s">
        <v>439</v>
      </c>
      <c r="L13" s="13" t="s">
        <v>253</v>
      </c>
      <c r="M13" s="13" t="s">
        <v>440</v>
      </c>
      <c r="N13" s="11" t="str">
        <f aca="false">IF(AND(L13&lt;&gt;"",M13&lt;&gt;""),"yes",IF(OR(L13&lt;&gt;"",M13&lt;&gt;""),"partial","no"))</f>
        <v>yes</v>
      </c>
    </row>
    <row r="14" customFormat="false" ht="15" hidden="false" customHeight="true" outlineLevel="0" collapsed="false">
      <c r="A14" s="11" t="s">
        <v>8</v>
      </c>
      <c r="B14" s="11" t="s">
        <v>331</v>
      </c>
      <c r="C14" s="11" t="s">
        <v>332</v>
      </c>
      <c r="D14" s="11" t="s">
        <v>450</v>
      </c>
      <c r="E14" s="11" t="s">
        <v>435</v>
      </c>
      <c r="F14" s="11" t="s">
        <v>449</v>
      </c>
      <c r="G14" s="11" t="s">
        <v>437</v>
      </c>
      <c r="H14" s="11" t="s">
        <v>438</v>
      </c>
      <c r="I14" s="11"/>
      <c r="J14" s="12" t="s">
        <v>439</v>
      </c>
      <c r="K14" s="12" t="s">
        <v>439</v>
      </c>
      <c r="L14" s="13" t="s">
        <v>333</v>
      </c>
      <c r="M14" s="13" t="s">
        <v>336</v>
      </c>
      <c r="N14" s="11" t="str">
        <f aca="false">IF(AND(L14&lt;&gt;"",M14&lt;&gt;""),"yes",IF(OR(L14&lt;&gt;"",M14&lt;&gt;""),"partial","no"))</f>
        <v>yes</v>
      </c>
    </row>
    <row r="15" customFormat="false" ht="15" hidden="false" customHeight="true" outlineLevel="0" collapsed="false">
      <c r="A15" s="11" t="s">
        <v>8</v>
      </c>
      <c r="B15" s="11" t="s">
        <v>234</v>
      </c>
      <c r="C15" s="11" t="s">
        <v>235</v>
      </c>
      <c r="D15" s="11" t="s">
        <v>450</v>
      </c>
      <c r="E15" s="11" t="s">
        <v>435</v>
      </c>
      <c r="F15" s="11" t="s">
        <v>449</v>
      </c>
      <c r="G15" s="11" t="s">
        <v>437</v>
      </c>
      <c r="H15" s="11" t="s">
        <v>438</v>
      </c>
      <c r="I15" s="11"/>
      <c r="J15" s="12" t="s">
        <v>439</v>
      </c>
      <c r="K15" s="12" t="s">
        <v>439</v>
      </c>
      <c r="L15" s="13" t="s">
        <v>236</v>
      </c>
      <c r="M15" s="13" t="s">
        <v>440</v>
      </c>
      <c r="N15" s="11" t="str">
        <f aca="false">IF(AND(L15&lt;&gt;"",M15&lt;&gt;""),"yes",IF(OR(L15&lt;&gt;"",M15&lt;&gt;""),"partial","no"))</f>
        <v>yes</v>
      </c>
    </row>
    <row r="16" customFormat="false" ht="15" hidden="false" customHeight="true" outlineLevel="0" collapsed="false">
      <c r="A16" s="11" t="s">
        <v>8</v>
      </c>
      <c r="B16" s="11" t="s">
        <v>222</v>
      </c>
      <c r="C16" s="11" t="s">
        <v>223</v>
      </c>
      <c r="D16" s="11" t="s">
        <v>451</v>
      </c>
      <c r="E16" s="11" t="s">
        <v>435</v>
      </c>
      <c r="F16" s="11" t="s">
        <v>452</v>
      </c>
      <c r="G16" s="11" t="s">
        <v>437</v>
      </c>
      <c r="H16" s="11" t="s">
        <v>438</v>
      </c>
      <c r="I16" s="11"/>
      <c r="J16" s="12" t="s">
        <v>439</v>
      </c>
      <c r="K16" s="12" t="s">
        <v>439</v>
      </c>
      <c r="L16" s="13" t="s">
        <v>224</v>
      </c>
      <c r="M16" s="13" t="s">
        <v>440</v>
      </c>
      <c r="N16" s="11" t="str">
        <f aca="false">IF(AND(L16&lt;&gt;"",M16&lt;&gt;""),"yes",IF(OR(L16&lt;&gt;"",M16&lt;&gt;""),"partial","no"))</f>
        <v>yes</v>
      </c>
    </row>
    <row r="17" customFormat="false" ht="15" hidden="false" customHeight="true" outlineLevel="0" collapsed="false">
      <c r="A17" s="11" t="s">
        <v>8</v>
      </c>
      <c r="B17" s="11" t="s">
        <v>304</v>
      </c>
      <c r="C17" s="11" t="s">
        <v>305</v>
      </c>
      <c r="D17" s="11" t="s">
        <v>453</v>
      </c>
      <c r="E17" s="11" t="s">
        <v>435</v>
      </c>
      <c r="F17" s="11" t="s">
        <v>454</v>
      </c>
      <c r="G17" s="11" t="s">
        <v>437</v>
      </c>
      <c r="H17" s="11" t="s">
        <v>438</v>
      </c>
      <c r="I17" s="11"/>
      <c r="J17" s="12" t="s">
        <v>439</v>
      </c>
      <c r="K17" s="12" t="s">
        <v>439</v>
      </c>
      <c r="L17" s="13" t="s">
        <v>306</v>
      </c>
      <c r="M17" s="13" t="s">
        <v>309</v>
      </c>
      <c r="N17" s="11" t="str">
        <f aca="false">IF(AND(L17&lt;&gt;"",M17&lt;&gt;""),"yes",IF(OR(L17&lt;&gt;"",M17&lt;&gt;""),"partial","no"))</f>
        <v>yes</v>
      </c>
    </row>
    <row r="18" customFormat="false" ht="15" hidden="false" customHeight="true" outlineLevel="0" collapsed="false">
      <c r="A18" s="11" t="s">
        <v>8</v>
      </c>
      <c r="B18" s="11" t="s">
        <v>134</v>
      </c>
      <c r="C18" s="11" t="s">
        <v>135</v>
      </c>
      <c r="D18" s="11" t="s">
        <v>453</v>
      </c>
      <c r="E18" s="11" t="s">
        <v>435</v>
      </c>
      <c r="F18" s="11" t="s">
        <v>446</v>
      </c>
      <c r="G18" s="11" t="s">
        <v>437</v>
      </c>
      <c r="H18" s="11" t="s">
        <v>438</v>
      </c>
      <c r="I18" s="11"/>
      <c r="J18" s="12" t="s">
        <v>439</v>
      </c>
      <c r="K18" s="12" t="s">
        <v>439</v>
      </c>
      <c r="L18" s="13" t="s">
        <v>136</v>
      </c>
      <c r="M18" s="13" t="s">
        <v>440</v>
      </c>
      <c r="N18" s="11" t="str">
        <f aca="false">IF(AND(L18&lt;&gt;"",M18&lt;&gt;""),"yes",IF(OR(L18&lt;&gt;"",M18&lt;&gt;""),"partial","no"))</f>
        <v>yes</v>
      </c>
    </row>
    <row r="19" customFormat="false" ht="15" hidden="false" customHeight="true" outlineLevel="0" collapsed="false">
      <c r="A19" s="11" t="s">
        <v>8</v>
      </c>
      <c r="B19" s="11" t="s">
        <v>109</v>
      </c>
      <c r="C19" s="11" t="s">
        <v>110</v>
      </c>
      <c r="D19" s="11" t="s">
        <v>455</v>
      </c>
      <c r="E19" s="11" t="s">
        <v>435</v>
      </c>
      <c r="F19" s="11" t="s">
        <v>449</v>
      </c>
      <c r="G19" s="11" t="s">
        <v>437</v>
      </c>
      <c r="H19" s="11" t="s">
        <v>438</v>
      </c>
      <c r="I19" s="11"/>
      <c r="J19" s="12" t="s">
        <v>439</v>
      </c>
      <c r="K19" s="12" t="s">
        <v>439</v>
      </c>
      <c r="L19" s="13" t="s">
        <v>111</v>
      </c>
      <c r="M19" s="13" t="s">
        <v>114</v>
      </c>
      <c r="N19" s="11" t="str">
        <f aca="false">IF(AND(L19&lt;&gt;"",M19&lt;&gt;""),"yes",IF(OR(L19&lt;&gt;"",M19&lt;&gt;""),"partial","no"))</f>
        <v>yes</v>
      </c>
    </row>
    <row r="20" customFormat="false" ht="15" hidden="false" customHeight="true" outlineLevel="0" collapsed="false">
      <c r="A20" s="11" t="s">
        <v>8</v>
      </c>
      <c r="B20" s="11" t="s">
        <v>209</v>
      </c>
      <c r="C20" s="11" t="s">
        <v>210</v>
      </c>
      <c r="D20" s="11" t="s">
        <v>455</v>
      </c>
      <c r="E20" s="11" t="s">
        <v>435</v>
      </c>
      <c r="F20" s="11" t="s">
        <v>449</v>
      </c>
      <c r="G20" s="11" t="s">
        <v>437</v>
      </c>
      <c r="H20" s="11" t="s">
        <v>438</v>
      </c>
      <c r="I20" s="11"/>
      <c r="J20" s="12" t="s">
        <v>439</v>
      </c>
      <c r="K20" s="12" t="s">
        <v>439</v>
      </c>
      <c r="L20" s="13" t="s">
        <v>211</v>
      </c>
      <c r="M20" s="13" t="s">
        <v>214</v>
      </c>
      <c r="N20" s="11" t="str">
        <f aca="false">IF(AND(L20&lt;&gt;"",M20&lt;&gt;""),"yes",IF(OR(L20&lt;&gt;"",M20&lt;&gt;""),"partial","no"))</f>
        <v>yes</v>
      </c>
    </row>
    <row r="21" customFormat="false" ht="15" hidden="false" customHeight="true" outlineLevel="0" collapsed="false">
      <c r="A21" s="11" t="s">
        <v>8</v>
      </c>
      <c r="B21" s="11" t="s">
        <v>48</v>
      </c>
      <c r="C21" s="11" t="s">
        <v>49</v>
      </c>
      <c r="D21" s="11" t="s">
        <v>455</v>
      </c>
      <c r="E21" s="11" t="s">
        <v>435</v>
      </c>
      <c r="F21" s="11" t="s">
        <v>449</v>
      </c>
      <c r="G21" s="11" t="s">
        <v>437</v>
      </c>
      <c r="H21" s="11" t="s">
        <v>438</v>
      </c>
      <c r="I21" s="11"/>
      <c r="J21" s="12" t="s">
        <v>439</v>
      </c>
      <c r="K21" s="12" t="s">
        <v>439</v>
      </c>
      <c r="L21" s="13" t="s">
        <v>50</v>
      </c>
      <c r="M21" s="13" t="s">
        <v>54</v>
      </c>
      <c r="N21" s="11" t="str">
        <f aca="false">IF(AND(L21&lt;&gt;"",M21&lt;&gt;""),"yes",IF(OR(L21&lt;&gt;"",M21&lt;&gt;""),"partial","no"))</f>
        <v>yes</v>
      </c>
    </row>
    <row r="22" customFormat="false" ht="15" hidden="false" customHeight="true" outlineLevel="0" collapsed="false">
      <c r="A22" s="11" t="s">
        <v>8</v>
      </c>
      <c r="B22" s="11" t="s">
        <v>82</v>
      </c>
      <c r="C22" s="11" t="s">
        <v>83</v>
      </c>
      <c r="D22" s="11" t="s">
        <v>455</v>
      </c>
      <c r="E22" s="11" t="s">
        <v>435</v>
      </c>
      <c r="F22" s="11" t="s">
        <v>449</v>
      </c>
      <c r="G22" s="11" t="s">
        <v>437</v>
      </c>
      <c r="H22" s="11" t="s">
        <v>438</v>
      </c>
      <c r="I22" s="11"/>
      <c r="J22" s="12" t="s">
        <v>439</v>
      </c>
      <c r="K22" s="12" t="s">
        <v>439</v>
      </c>
      <c r="L22" s="13" t="s">
        <v>84</v>
      </c>
      <c r="M22" s="13" t="s">
        <v>87</v>
      </c>
      <c r="N22" s="11" t="str">
        <f aca="false">IF(AND(L22&lt;&gt;"",M22&lt;&gt;""),"yes",IF(OR(L22&lt;&gt;"",M22&lt;&gt;""),"partial","no"))</f>
        <v>yes</v>
      </c>
    </row>
    <row r="23" customFormat="false" ht="15" hidden="false" customHeight="true" outlineLevel="0" collapsed="false">
      <c r="A23" s="11" t="s">
        <v>8</v>
      </c>
      <c r="B23" s="11" t="s">
        <v>34</v>
      </c>
      <c r="C23" s="11" t="s">
        <v>35</v>
      </c>
      <c r="D23" s="11" t="s">
        <v>455</v>
      </c>
      <c r="E23" s="11" t="s">
        <v>435</v>
      </c>
      <c r="F23" s="11" t="s">
        <v>449</v>
      </c>
      <c r="G23" s="11" t="s">
        <v>437</v>
      </c>
      <c r="H23" s="11" t="s">
        <v>438</v>
      </c>
      <c r="I23" s="11"/>
      <c r="J23" s="12" t="s">
        <v>439</v>
      </c>
      <c r="K23" s="12" t="s">
        <v>439</v>
      </c>
      <c r="L23" s="13" t="s">
        <v>36</v>
      </c>
      <c r="M23" s="13" t="s">
        <v>440</v>
      </c>
      <c r="N23" s="11" t="str">
        <f aca="false">IF(AND(L23&lt;&gt;"",M23&lt;&gt;""),"yes",IF(OR(L23&lt;&gt;"",M23&lt;&gt;""),"partial","no"))</f>
        <v>yes</v>
      </c>
    </row>
    <row r="24" customFormat="false" ht="15" hidden="false" customHeight="true" outlineLevel="0" collapsed="false">
      <c r="A24" s="11" t="s">
        <v>8</v>
      </c>
      <c r="B24" s="11" t="s">
        <v>56</v>
      </c>
      <c r="C24" s="11" t="s">
        <v>57</v>
      </c>
      <c r="D24" s="11" t="s">
        <v>456</v>
      </c>
      <c r="E24" s="11" t="s">
        <v>435</v>
      </c>
      <c r="F24" s="11" t="s">
        <v>446</v>
      </c>
      <c r="G24" s="11" t="s">
        <v>437</v>
      </c>
      <c r="H24" s="11" t="s">
        <v>438</v>
      </c>
      <c r="I24" s="11"/>
      <c r="J24" s="12" t="s">
        <v>439</v>
      </c>
      <c r="K24" s="12" t="s">
        <v>439</v>
      </c>
      <c r="L24" s="13" t="s">
        <v>58</v>
      </c>
      <c r="M24" s="13" t="s">
        <v>61</v>
      </c>
      <c r="N24" s="11" t="str">
        <f aca="false">IF(AND(L24&lt;&gt;"",M24&lt;&gt;""),"yes",IF(OR(L24&lt;&gt;"",M24&lt;&gt;""),"partial","no"))</f>
        <v>yes</v>
      </c>
    </row>
    <row r="25" customFormat="false" ht="15" hidden="false" customHeight="true" outlineLevel="0" collapsed="false">
      <c r="A25" s="11" t="s">
        <v>8</v>
      </c>
      <c r="B25" s="11" t="s">
        <v>96</v>
      </c>
      <c r="C25" s="11" t="s">
        <v>97</v>
      </c>
      <c r="D25" s="11" t="s">
        <v>457</v>
      </c>
      <c r="E25" s="11" t="s">
        <v>435</v>
      </c>
      <c r="F25" s="11" t="s">
        <v>446</v>
      </c>
      <c r="G25" s="11" t="s">
        <v>437</v>
      </c>
      <c r="H25" s="11" t="s">
        <v>438</v>
      </c>
      <c r="I25" s="11"/>
      <c r="J25" s="12" t="s">
        <v>439</v>
      </c>
      <c r="K25" s="12" t="s">
        <v>439</v>
      </c>
      <c r="L25" s="13" t="s">
        <v>98</v>
      </c>
      <c r="M25" s="13" t="s">
        <v>101</v>
      </c>
      <c r="N25" s="11" t="str">
        <f aca="false">IF(AND(L25&lt;&gt;"",M25&lt;&gt;""),"yes",IF(OR(L25&lt;&gt;"",M25&lt;&gt;""),"partial","no"))</f>
        <v>yes</v>
      </c>
    </row>
    <row r="26" customFormat="false" ht="15" hidden="false" customHeight="true" outlineLevel="0" collapsed="false">
      <c r="A26" s="11" t="s">
        <v>8</v>
      </c>
      <c r="B26" s="11" t="s">
        <v>369</v>
      </c>
      <c r="C26" s="11" t="s">
        <v>370</v>
      </c>
      <c r="D26" s="11" t="s">
        <v>458</v>
      </c>
      <c r="E26" s="11" t="s">
        <v>435</v>
      </c>
      <c r="F26" s="11" t="s">
        <v>449</v>
      </c>
      <c r="G26" s="11" t="s">
        <v>437</v>
      </c>
      <c r="H26" s="11" t="s">
        <v>438</v>
      </c>
      <c r="I26" s="11"/>
      <c r="J26" s="12" t="s">
        <v>439</v>
      </c>
      <c r="K26" s="12" t="s">
        <v>439</v>
      </c>
      <c r="L26" s="13" t="s">
        <v>371</v>
      </c>
      <c r="M26" s="13" t="s">
        <v>440</v>
      </c>
      <c r="N26" s="11" t="str">
        <f aca="false">IF(AND(L26&lt;&gt;"",M26&lt;&gt;""),"yes",IF(OR(L26&lt;&gt;"",M26&lt;&gt;""),"partial","no"))</f>
        <v>yes</v>
      </c>
    </row>
    <row r="27" customFormat="false" ht="15" hidden="false" customHeight="true" outlineLevel="0" collapsed="false">
      <c r="A27" s="11" t="s">
        <v>8</v>
      </c>
      <c r="B27" s="11" t="s">
        <v>325</v>
      </c>
      <c r="C27" s="11" t="s">
        <v>326</v>
      </c>
      <c r="D27" s="11" t="s">
        <v>458</v>
      </c>
      <c r="E27" s="11" t="s">
        <v>435</v>
      </c>
      <c r="F27" s="11" t="s">
        <v>449</v>
      </c>
      <c r="G27" s="11" t="s">
        <v>437</v>
      </c>
      <c r="H27" s="11" t="s">
        <v>438</v>
      </c>
      <c r="I27" s="11"/>
      <c r="J27" s="12" t="s">
        <v>439</v>
      </c>
      <c r="K27" s="12" t="s">
        <v>439</v>
      </c>
      <c r="L27" s="13" t="s">
        <v>327</v>
      </c>
      <c r="M27" s="13" t="s">
        <v>440</v>
      </c>
      <c r="N27" s="11" t="str">
        <f aca="false">IF(AND(L27&lt;&gt;"",M27&lt;&gt;""),"yes",IF(OR(L27&lt;&gt;"",M27&lt;&gt;""),"partial","no"))</f>
        <v>yes</v>
      </c>
    </row>
    <row r="28" customFormat="false" ht="15" hidden="false" customHeight="true" outlineLevel="0" collapsed="false">
      <c r="A28" s="11" t="s">
        <v>8</v>
      </c>
      <c r="B28" s="11" t="s">
        <v>216</v>
      </c>
      <c r="C28" s="11" t="s">
        <v>217</v>
      </c>
      <c r="D28" s="11" t="s">
        <v>458</v>
      </c>
      <c r="E28" s="11" t="s">
        <v>435</v>
      </c>
      <c r="F28" s="11" t="s">
        <v>449</v>
      </c>
      <c r="G28" s="11" t="s">
        <v>437</v>
      </c>
      <c r="H28" s="11" t="s">
        <v>438</v>
      </c>
      <c r="I28" s="11"/>
      <c r="J28" s="12" t="s">
        <v>439</v>
      </c>
      <c r="K28" s="12" t="s">
        <v>439</v>
      </c>
      <c r="L28" s="13" t="s">
        <v>218</v>
      </c>
      <c r="M28" s="13" t="s">
        <v>440</v>
      </c>
      <c r="N28" s="11" t="str">
        <f aca="false">IF(AND(L28&lt;&gt;"",M28&lt;&gt;""),"yes",IF(OR(L28&lt;&gt;"",M28&lt;&gt;""),"partial","no"))</f>
        <v>yes</v>
      </c>
    </row>
    <row r="29" customFormat="false" ht="15" hidden="false" customHeight="true" outlineLevel="0" collapsed="false">
      <c r="A29" s="11" t="s">
        <v>8</v>
      </c>
      <c r="B29" s="11" t="s">
        <v>25</v>
      </c>
      <c r="C29" s="11" t="s">
        <v>26</v>
      </c>
      <c r="D29" s="11" t="s">
        <v>458</v>
      </c>
      <c r="E29" s="11" t="s">
        <v>435</v>
      </c>
      <c r="F29" s="11" t="s">
        <v>449</v>
      </c>
      <c r="G29" s="11" t="s">
        <v>437</v>
      </c>
      <c r="H29" s="11" t="s">
        <v>438</v>
      </c>
      <c r="I29" s="11"/>
      <c r="J29" s="12" t="s">
        <v>439</v>
      </c>
      <c r="K29" s="12" t="s">
        <v>439</v>
      </c>
      <c r="L29" s="13" t="s">
        <v>27</v>
      </c>
      <c r="M29" s="13" t="s">
        <v>440</v>
      </c>
      <c r="N29" s="11" t="str">
        <f aca="false">IF(AND(L29&lt;&gt;"",M29&lt;&gt;""),"yes",IF(OR(L29&lt;&gt;"",M29&lt;&gt;""),"partial","no"))</f>
        <v>yes</v>
      </c>
    </row>
    <row r="30" customFormat="false" ht="15" hidden="false" customHeight="true" outlineLevel="0" collapsed="false">
      <c r="A30" s="11" t="s">
        <v>8</v>
      </c>
      <c r="B30" s="11" t="s">
        <v>76</v>
      </c>
      <c r="C30" s="11" t="s">
        <v>77</v>
      </c>
      <c r="D30" s="11" t="s">
        <v>458</v>
      </c>
      <c r="E30" s="11" t="s">
        <v>435</v>
      </c>
      <c r="F30" s="11" t="s">
        <v>449</v>
      </c>
      <c r="G30" s="11" t="s">
        <v>437</v>
      </c>
      <c r="H30" s="11" t="s">
        <v>438</v>
      </c>
      <c r="I30" s="11"/>
      <c r="J30" s="12" t="s">
        <v>439</v>
      </c>
      <c r="K30" s="12" t="s">
        <v>439</v>
      </c>
      <c r="L30" s="13" t="s">
        <v>78</v>
      </c>
      <c r="M30" s="13" t="s">
        <v>440</v>
      </c>
      <c r="N30" s="11" t="str">
        <f aca="false">IF(AND(L30&lt;&gt;"",M30&lt;&gt;""),"yes",IF(OR(L30&lt;&gt;"",M30&lt;&gt;""),"partial","no"))</f>
        <v>yes</v>
      </c>
    </row>
    <row r="31" customFormat="false" ht="15" hidden="false" customHeight="true" outlineLevel="0" collapsed="false">
      <c r="A31" s="11" t="s">
        <v>8</v>
      </c>
      <c r="B31" s="11" t="s">
        <v>344</v>
      </c>
      <c r="C31" s="11" t="s">
        <v>345</v>
      </c>
      <c r="D31" s="11" t="s">
        <v>459</v>
      </c>
      <c r="E31" s="11" t="s">
        <v>435</v>
      </c>
      <c r="F31" s="11" t="s">
        <v>443</v>
      </c>
      <c r="G31" s="11" t="s">
        <v>437</v>
      </c>
      <c r="H31" s="11" t="s">
        <v>438</v>
      </c>
      <c r="I31" s="11"/>
      <c r="J31" s="12" t="s">
        <v>439</v>
      </c>
      <c r="K31" s="12" t="s">
        <v>439</v>
      </c>
      <c r="L31" s="13" t="s">
        <v>346</v>
      </c>
      <c r="M31" s="13" t="s">
        <v>348</v>
      </c>
      <c r="N31" s="11" t="str">
        <f aca="false">IF(AND(L31&lt;&gt;"",M31&lt;&gt;""),"yes",IF(OR(L31&lt;&gt;"",M31&lt;&gt;""),"partial","no"))</f>
        <v>yes</v>
      </c>
    </row>
    <row r="32" customFormat="false" ht="15" hidden="false" customHeight="true" outlineLevel="0" collapsed="false">
      <c r="A32" s="11" t="s">
        <v>8</v>
      </c>
      <c r="B32" s="11" t="s">
        <v>116</v>
      </c>
      <c r="C32" s="11" t="s">
        <v>117</v>
      </c>
      <c r="D32" s="11" t="s">
        <v>459</v>
      </c>
      <c r="E32" s="11" t="s">
        <v>435</v>
      </c>
      <c r="F32" s="11" t="s">
        <v>443</v>
      </c>
      <c r="G32" s="11" t="s">
        <v>437</v>
      </c>
      <c r="H32" s="11" t="s">
        <v>438</v>
      </c>
      <c r="I32" s="11"/>
      <c r="J32" s="12" t="s">
        <v>439</v>
      </c>
      <c r="K32" s="12" t="s">
        <v>439</v>
      </c>
      <c r="L32" s="13" t="s">
        <v>118</v>
      </c>
      <c r="M32" s="13" t="s">
        <v>120</v>
      </c>
      <c r="N32" s="11" t="str">
        <f aca="false">IF(AND(L32&lt;&gt;"",M32&lt;&gt;""),"yes",IF(OR(L32&lt;&gt;"",M32&lt;&gt;""),"partial","no"))</f>
        <v>yes</v>
      </c>
    </row>
    <row r="33" customFormat="false" ht="15" hidden="false" customHeight="true" outlineLevel="0" collapsed="false">
      <c r="A33" s="11" t="s">
        <v>8</v>
      </c>
      <c r="B33" s="11" t="s">
        <v>318</v>
      </c>
      <c r="C33" s="11" t="s">
        <v>319</v>
      </c>
      <c r="D33" s="11" t="s">
        <v>459</v>
      </c>
      <c r="E33" s="11" t="s">
        <v>435</v>
      </c>
      <c r="F33" s="11" t="s">
        <v>443</v>
      </c>
      <c r="G33" s="11" t="s">
        <v>437</v>
      </c>
      <c r="H33" s="11" t="s">
        <v>438</v>
      </c>
      <c r="I33" s="11"/>
      <c r="J33" s="12" t="s">
        <v>439</v>
      </c>
      <c r="K33" s="12" t="s">
        <v>439</v>
      </c>
      <c r="L33" s="13" t="s">
        <v>320</v>
      </c>
      <c r="M33" s="13" t="s">
        <v>323</v>
      </c>
      <c r="N33" s="11" t="str">
        <f aca="false">IF(AND(L33&lt;&gt;"",M33&lt;&gt;""),"yes",IF(OR(L33&lt;&gt;"",M33&lt;&gt;""),"partial","no"))</f>
        <v>yes</v>
      </c>
    </row>
    <row r="34" customFormat="false" ht="15" hidden="false" customHeight="true" outlineLevel="0" collapsed="false">
      <c r="A34" s="11" t="s">
        <v>8</v>
      </c>
      <c r="B34" s="11" t="s">
        <v>128</v>
      </c>
      <c r="C34" s="11" t="s">
        <v>129</v>
      </c>
      <c r="D34" s="11" t="s">
        <v>459</v>
      </c>
      <c r="E34" s="11" t="s">
        <v>435</v>
      </c>
      <c r="F34" s="11" t="s">
        <v>452</v>
      </c>
      <c r="G34" s="11" t="s">
        <v>437</v>
      </c>
      <c r="H34" s="11" t="s">
        <v>438</v>
      </c>
      <c r="I34" s="11"/>
      <c r="J34" s="12" t="s">
        <v>439</v>
      </c>
      <c r="K34" s="12" t="s">
        <v>439</v>
      </c>
      <c r="L34" s="13" t="s">
        <v>130</v>
      </c>
      <c r="M34" s="13" t="s">
        <v>132</v>
      </c>
      <c r="N34" s="11" t="str">
        <f aca="false">IF(AND(L34&lt;&gt;"",M34&lt;&gt;""),"yes",IF(OR(L34&lt;&gt;"",M34&lt;&gt;""),"partial","no"))</f>
        <v>yes</v>
      </c>
    </row>
    <row r="35" customFormat="false" ht="15" hidden="false" customHeight="true" outlineLevel="0" collapsed="false">
      <c r="A35" s="11" t="s">
        <v>8</v>
      </c>
      <c r="B35" s="11" t="s">
        <v>165</v>
      </c>
      <c r="C35" s="11" t="s">
        <v>166</v>
      </c>
      <c r="D35" s="11" t="s">
        <v>459</v>
      </c>
      <c r="E35" s="11" t="s">
        <v>435</v>
      </c>
      <c r="F35" s="11" t="s">
        <v>443</v>
      </c>
      <c r="G35" s="11" t="s">
        <v>437</v>
      </c>
      <c r="H35" s="11" t="s">
        <v>438</v>
      </c>
      <c r="I35" s="11"/>
      <c r="J35" s="12" t="s">
        <v>439</v>
      </c>
      <c r="K35" s="12" t="s">
        <v>439</v>
      </c>
      <c r="L35" s="13" t="s">
        <v>167</v>
      </c>
      <c r="M35" s="13" t="s">
        <v>440</v>
      </c>
      <c r="N35" s="11" t="str">
        <f aca="false">IF(AND(L35&lt;&gt;"",M35&lt;&gt;""),"yes",IF(OR(L35&lt;&gt;"",M35&lt;&gt;""),"partial","no"))</f>
        <v>yes</v>
      </c>
    </row>
    <row r="36" customFormat="false" ht="15" hidden="false" customHeight="true" outlineLevel="0" collapsed="false">
      <c r="A36" s="11" t="s">
        <v>8</v>
      </c>
      <c r="B36" s="11" t="s">
        <v>202</v>
      </c>
      <c r="C36" s="11" t="s">
        <v>203</v>
      </c>
      <c r="D36" s="11" t="s">
        <v>460</v>
      </c>
      <c r="E36" s="11" t="s">
        <v>435</v>
      </c>
      <c r="F36" s="11" t="s">
        <v>443</v>
      </c>
      <c r="G36" s="11" t="s">
        <v>437</v>
      </c>
      <c r="H36" s="11" t="s">
        <v>438</v>
      </c>
      <c r="I36" s="11"/>
      <c r="J36" s="12" t="s">
        <v>439</v>
      </c>
      <c r="K36" s="12" t="s">
        <v>439</v>
      </c>
      <c r="L36" s="13" t="s">
        <v>204</v>
      </c>
      <c r="M36" s="13" t="s">
        <v>207</v>
      </c>
      <c r="N36" s="11" t="str">
        <f aca="false">IF(AND(L36&lt;&gt;"",M36&lt;&gt;""),"yes",IF(OR(L36&lt;&gt;"",M36&lt;&gt;""),"partial","no"))</f>
        <v>yes</v>
      </c>
    </row>
    <row r="37" customFormat="false" ht="15" hidden="false" customHeight="true" outlineLevel="0" collapsed="false">
      <c r="A37" s="11" t="s">
        <v>8</v>
      </c>
      <c r="B37" s="11" t="s">
        <v>141</v>
      </c>
      <c r="C37" s="11" t="s">
        <v>142</v>
      </c>
      <c r="D37" s="11" t="s">
        <v>460</v>
      </c>
      <c r="E37" s="11" t="s">
        <v>435</v>
      </c>
      <c r="F37" s="11" t="s">
        <v>443</v>
      </c>
      <c r="G37" s="11" t="s">
        <v>437</v>
      </c>
      <c r="H37" s="11" t="s">
        <v>438</v>
      </c>
      <c r="I37" s="11"/>
      <c r="J37" s="12" t="s">
        <v>439</v>
      </c>
      <c r="K37" s="12" t="s">
        <v>439</v>
      </c>
      <c r="L37" s="13" t="s">
        <v>143</v>
      </c>
      <c r="M37" s="13" t="s">
        <v>145</v>
      </c>
      <c r="N37" s="11" t="str">
        <f aca="false">IF(AND(L37&lt;&gt;"",M37&lt;&gt;""),"yes",IF(OR(L37&lt;&gt;"",M37&lt;&gt;""),"partial","no"))</f>
        <v>yes</v>
      </c>
    </row>
    <row r="38" customFormat="false" ht="15" hidden="false" customHeight="true" outlineLevel="0" collapsed="false">
      <c r="A38" s="11" t="s">
        <v>8</v>
      </c>
      <c r="B38" s="11" t="s">
        <v>69</v>
      </c>
      <c r="C38" s="11" t="s">
        <v>70</v>
      </c>
      <c r="D38" s="11" t="s">
        <v>460</v>
      </c>
      <c r="E38" s="11" t="s">
        <v>435</v>
      </c>
      <c r="F38" s="11" t="s">
        <v>443</v>
      </c>
      <c r="G38" s="11" t="s">
        <v>437</v>
      </c>
      <c r="H38" s="11" t="s">
        <v>438</v>
      </c>
      <c r="I38" s="11"/>
      <c r="J38" s="12" t="s">
        <v>439</v>
      </c>
      <c r="K38" s="12" t="s">
        <v>439</v>
      </c>
      <c r="L38" s="13" t="s">
        <v>71</v>
      </c>
      <c r="M38" s="13" t="s">
        <v>74</v>
      </c>
      <c r="N38" s="11" t="str">
        <f aca="false">IF(AND(L38&lt;&gt;"",M38&lt;&gt;""),"yes",IF(OR(L38&lt;&gt;"",M38&lt;&gt;""),"partial","no"))</f>
        <v>yes</v>
      </c>
    </row>
    <row r="39" customFormat="false" ht="15" hidden="false" customHeight="true" outlineLevel="0" collapsed="false">
      <c r="A39" s="11" t="s">
        <v>8</v>
      </c>
      <c r="B39" s="11" t="s">
        <v>362</v>
      </c>
      <c r="C39" s="11" t="s">
        <v>363</v>
      </c>
      <c r="D39" s="11" t="s">
        <v>460</v>
      </c>
      <c r="E39" s="11" t="s">
        <v>435</v>
      </c>
      <c r="F39" s="11" t="s">
        <v>443</v>
      </c>
      <c r="G39" s="11" t="s">
        <v>437</v>
      </c>
      <c r="H39" s="11" t="s">
        <v>438</v>
      </c>
      <c r="I39" s="11"/>
      <c r="J39" s="12" t="s">
        <v>439</v>
      </c>
      <c r="K39" s="12" t="s">
        <v>439</v>
      </c>
      <c r="L39" s="13" t="s">
        <v>364</v>
      </c>
      <c r="M39" s="13" t="s">
        <v>367</v>
      </c>
      <c r="N39" s="11" t="str">
        <f aca="false">IF(AND(L39&lt;&gt;"",M39&lt;&gt;""),"yes",IF(OR(L39&lt;&gt;"",M39&lt;&gt;""),"partial","no"))</f>
        <v>yes</v>
      </c>
    </row>
    <row r="40" customFormat="false" ht="15" hidden="false" customHeight="true" outlineLevel="0" collapsed="false">
      <c r="A40" s="11" t="s">
        <v>8</v>
      </c>
      <c r="B40" s="11" t="s">
        <v>311</v>
      </c>
      <c r="C40" s="11" t="s">
        <v>312</v>
      </c>
      <c r="D40" s="11" t="s">
        <v>460</v>
      </c>
      <c r="E40" s="11" t="s">
        <v>435</v>
      </c>
      <c r="F40" s="11" t="s">
        <v>443</v>
      </c>
      <c r="G40" s="11" t="s">
        <v>437</v>
      </c>
      <c r="H40" s="11" t="s">
        <v>438</v>
      </c>
      <c r="I40" s="11"/>
      <c r="J40" s="12" t="s">
        <v>439</v>
      </c>
      <c r="K40" s="12" t="s">
        <v>439</v>
      </c>
      <c r="L40" s="13" t="s">
        <v>313</v>
      </c>
      <c r="M40" s="13" t="s">
        <v>316</v>
      </c>
      <c r="N40" s="11" t="str">
        <f aca="false">IF(AND(L40&lt;&gt;"",M40&lt;&gt;""),"yes",IF(OR(L40&lt;&gt;"",M40&lt;&gt;""),"partial","no"))</f>
        <v>yes</v>
      </c>
    </row>
    <row r="41" customFormat="false" ht="15" hidden="false" customHeight="true" outlineLevel="0" collapsed="false">
      <c r="A41" s="11" t="s">
        <v>8</v>
      </c>
      <c r="B41" s="11" t="s">
        <v>178</v>
      </c>
      <c r="C41" s="11" t="s">
        <v>179</v>
      </c>
      <c r="D41" s="11" t="s">
        <v>461</v>
      </c>
      <c r="E41" s="11" t="s">
        <v>435</v>
      </c>
      <c r="F41" s="11" t="s">
        <v>449</v>
      </c>
      <c r="G41" s="11" t="s">
        <v>437</v>
      </c>
      <c r="H41" s="11" t="s">
        <v>438</v>
      </c>
      <c r="I41" s="11" t="s">
        <v>444</v>
      </c>
      <c r="J41" s="12" t="s">
        <v>439</v>
      </c>
      <c r="K41" s="12" t="s">
        <v>439</v>
      </c>
      <c r="L41" s="13" t="s">
        <v>180</v>
      </c>
      <c r="M41" s="13" t="s">
        <v>440</v>
      </c>
      <c r="N41" s="11" t="str">
        <f aca="false">IF(AND(L41&lt;&gt;"",M41&lt;&gt;""),"yes",IF(OR(L41&lt;&gt;"",M41&lt;&gt;""),"partial","no"))</f>
        <v>yes</v>
      </c>
    </row>
    <row r="42" customFormat="false" ht="15" hidden="false" customHeight="true" outlineLevel="0" collapsed="false">
      <c r="A42" s="11" t="s">
        <v>8</v>
      </c>
      <c r="B42" s="11" t="s">
        <v>184</v>
      </c>
      <c r="C42" s="11" t="s">
        <v>185</v>
      </c>
      <c r="D42" s="11" t="s">
        <v>462</v>
      </c>
      <c r="E42" s="11" t="s">
        <v>435</v>
      </c>
      <c r="F42" s="11" t="s">
        <v>452</v>
      </c>
      <c r="G42" s="11" t="s">
        <v>437</v>
      </c>
      <c r="H42" s="11" t="s">
        <v>438</v>
      </c>
      <c r="I42" s="11" t="s">
        <v>444</v>
      </c>
      <c r="J42" s="12" t="s">
        <v>439</v>
      </c>
      <c r="K42" s="12" t="s">
        <v>439</v>
      </c>
      <c r="L42" s="13" t="s">
        <v>186</v>
      </c>
      <c r="M42" s="13" t="s">
        <v>440</v>
      </c>
      <c r="N42" s="11" t="str">
        <f aca="false">IF(AND(L42&lt;&gt;"",M42&lt;&gt;""),"yes",IF(OR(L42&lt;&gt;"",M42&lt;&gt;""),"partial","no"))</f>
        <v>yes</v>
      </c>
    </row>
    <row r="43" customFormat="false" ht="15" hidden="false" customHeight="true" outlineLevel="0" collapsed="false">
      <c r="A43" s="11" t="s">
        <v>8</v>
      </c>
      <c r="B43" s="11" t="s">
        <v>263</v>
      </c>
      <c r="C43" s="11" t="s">
        <v>264</v>
      </c>
      <c r="D43" s="11" t="s">
        <v>463</v>
      </c>
      <c r="E43" s="11" t="s">
        <v>435</v>
      </c>
      <c r="F43" s="11" t="s">
        <v>452</v>
      </c>
      <c r="G43" s="11" t="s">
        <v>437</v>
      </c>
      <c r="H43" s="11" t="s">
        <v>438</v>
      </c>
      <c r="I43" s="11"/>
      <c r="J43" s="12" t="s">
        <v>439</v>
      </c>
      <c r="K43" s="12" t="s">
        <v>439</v>
      </c>
      <c r="L43" s="13" t="s">
        <v>265</v>
      </c>
      <c r="M43" s="13" t="s">
        <v>440</v>
      </c>
      <c r="N43" s="11" t="str">
        <f aca="false">IF(AND(L43&lt;&gt;"",M43&lt;&gt;""),"yes",IF(OR(L43&lt;&gt;"",M43&lt;&gt;""),"partial","no"))</f>
        <v>yes</v>
      </c>
    </row>
    <row r="44" customFormat="false" ht="15" hidden="false" customHeight="true" outlineLevel="0" collapsed="false">
      <c r="A44" s="11" t="s">
        <v>8</v>
      </c>
      <c r="B44" s="11" t="s">
        <v>286</v>
      </c>
      <c r="C44" s="11" t="s">
        <v>287</v>
      </c>
      <c r="D44" s="11" t="s">
        <v>463</v>
      </c>
      <c r="E44" s="11" t="s">
        <v>435</v>
      </c>
      <c r="F44" s="11" t="s">
        <v>452</v>
      </c>
      <c r="G44" s="11" t="s">
        <v>437</v>
      </c>
      <c r="H44" s="11" t="s">
        <v>438</v>
      </c>
      <c r="I44" s="11"/>
      <c r="J44" s="12" t="s">
        <v>439</v>
      </c>
      <c r="K44" s="12" t="s">
        <v>439</v>
      </c>
      <c r="L44" s="13" t="s">
        <v>288</v>
      </c>
      <c r="M44" s="13" t="s">
        <v>440</v>
      </c>
      <c r="N44" s="11" t="str">
        <f aca="false">IF(AND(L44&lt;&gt;"",M44&lt;&gt;""),"yes",IF(OR(L44&lt;&gt;"",M44&lt;&gt;""),"partial","no"))</f>
        <v>yes</v>
      </c>
    </row>
    <row r="45" customFormat="false" ht="15" hidden="false" customHeight="true" outlineLevel="0" collapsed="false">
      <c r="A45" s="11" t="s">
        <v>8</v>
      </c>
      <c r="B45" s="11" t="s">
        <v>269</v>
      </c>
      <c r="C45" s="11" t="s">
        <v>270</v>
      </c>
      <c r="D45" s="11" t="s">
        <v>463</v>
      </c>
      <c r="E45" s="11" t="s">
        <v>435</v>
      </c>
      <c r="F45" s="11" t="s">
        <v>452</v>
      </c>
      <c r="G45" s="11" t="s">
        <v>437</v>
      </c>
      <c r="H45" s="11" t="s">
        <v>438</v>
      </c>
      <c r="I45" s="11"/>
      <c r="J45" s="12" t="s">
        <v>439</v>
      </c>
      <c r="K45" s="12" t="s">
        <v>439</v>
      </c>
      <c r="L45" s="13" t="s">
        <v>271</v>
      </c>
      <c r="M45" s="13" t="s">
        <v>440</v>
      </c>
      <c r="N45" s="11" t="str">
        <f aca="false">IF(AND(L45&lt;&gt;"",M45&lt;&gt;""),"yes",IF(OR(L45&lt;&gt;"",M45&lt;&gt;""),"partial","no"))</f>
        <v>yes</v>
      </c>
    </row>
    <row r="46" customFormat="false" ht="15" hidden="false" customHeight="true" outlineLevel="0" collapsed="false">
      <c r="A46" s="11" t="s">
        <v>8</v>
      </c>
      <c r="B46" s="11" t="s">
        <v>281</v>
      </c>
      <c r="C46" s="11" t="s">
        <v>282</v>
      </c>
      <c r="D46" s="11" t="s">
        <v>463</v>
      </c>
      <c r="E46" s="11" t="s">
        <v>435</v>
      </c>
      <c r="F46" s="11" t="s">
        <v>452</v>
      </c>
      <c r="G46" s="11" t="s">
        <v>437</v>
      </c>
      <c r="H46" s="11" t="s">
        <v>438</v>
      </c>
      <c r="I46" s="11"/>
      <c r="J46" s="12" t="s">
        <v>439</v>
      </c>
      <c r="K46" s="12" t="s">
        <v>439</v>
      </c>
      <c r="L46" s="13" t="s">
        <v>283</v>
      </c>
      <c r="M46" s="13" t="s">
        <v>440</v>
      </c>
      <c r="N46" s="11" t="str">
        <f aca="false">IF(AND(L46&lt;&gt;"",M46&lt;&gt;""),"yes",IF(OR(L46&lt;&gt;"",M46&lt;&gt;""),"partial","no"))</f>
        <v>yes</v>
      </c>
    </row>
    <row r="47" customFormat="false" ht="15" hidden="false" customHeight="true" outlineLevel="0" collapsed="false">
      <c r="A47" s="11" t="s">
        <v>8</v>
      </c>
      <c r="B47" s="11" t="s">
        <v>275</v>
      </c>
      <c r="C47" s="11" t="s">
        <v>276</v>
      </c>
      <c r="D47" s="11" t="s">
        <v>463</v>
      </c>
      <c r="E47" s="11" t="s">
        <v>435</v>
      </c>
      <c r="F47" s="11" t="s">
        <v>452</v>
      </c>
      <c r="G47" s="11" t="s">
        <v>437</v>
      </c>
      <c r="H47" s="11" t="s">
        <v>438</v>
      </c>
      <c r="I47" s="11"/>
      <c r="J47" s="12" t="s">
        <v>439</v>
      </c>
      <c r="K47" s="12" t="s">
        <v>439</v>
      </c>
      <c r="L47" s="13" t="s">
        <v>277</v>
      </c>
      <c r="M47" s="13" t="s">
        <v>440</v>
      </c>
      <c r="N47" s="11" t="str">
        <f aca="false">IF(AND(L47&lt;&gt;"",M47&lt;&gt;""),"yes",IF(OR(L47&lt;&gt;"",M47&lt;&gt;""),"partial","no"))</f>
        <v>yes</v>
      </c>
    </row>
    <row r="48" customFormat="false" ht="15" hidden="false" customHeight="true" outlineLevel="0" collapsed="false">
      <c r="A48" s="11" t="s">
        <v>8</v>
      </c>
      <c r="B48" s="11" t="s">
        <v>338</v>
      </c>
      <c r="C48" s="11" t="s">
        <v>339</v>
      </c>
      <c r="D48" s="11" t="s">
        <v>464</v>
      </c>
      <c r="E48" s="11" t="s">
        <v>435</v>
      </c>
      <c r="F48" s="11" t="s">
        <v>449</v>
      </c>
      <c r="G48" s="11" t="s">
        <v>437</v>
      </c>
      <c r="H48" s="11" t="s">
        <v>438</v>
      </c>
      <c r="I48" s="11"/>
      <c r="J48" s="12" t="s">
        <v>439</v>
      </c>
      <c r="K48" s="12" t="s">
        <v>439</v>
      </c>
      <c r="L48" s="13" t="s">
        <v>340</v>
      </c>
      <c r="M48" s="13" t="s">
        <v>440</v>
      </c>
      <c r="N48" s="11" t="str">
        <f aca="false">IF(AND(L48&lt;&gt;"",M48&lt;&gt;""),"yes",IF(OR(L48&lt;&gt;"",M48&lt;&gt;""),"partial","no"))</f>
        <v>yes</v>
      </c>
    </row>
    <row r="49" customFormat="false" ht="15" hidden="false" customHeight="true" outlineLevel="0" collapsed="false">
      <c r="A49" s="11" t="s">
        <v>8</v>
      </c>
      <c r="B49" s="11" t="s">
        <v>171</v>
      </c>
      <c r="C49" s="11" t="s">
        <v>172</v>
      </c>
      <c r="D49" s="11" t="s">
        <v>465</v>
      </c>
      <c r="E49" s="11" t="s">
        <v>435</v>
      </c>
      <c r="F49" s="11" t="s">
        <v>449</v>
      </c>
      <c r="G49" s="11" t="s">
        <v>437</v>
      </c>
      <c r="H49" s="11" t="s">
        <v>438</v>
      </c>
      <c r="I49" s="11"/>
      <c r="J49" s="12" t="s">
        <v>439</v>
      </c>
      <c r="K49" s="12" t="s">
        <v>439</v>
      </c>
      <c r="L49" s="13" t="s">
        <v>173</v>
      </c>
      <c r="M49" s="13" t="s">
        <v>440</v>
      </c>
      <c r="N49" s="11" t="str">
        <f aca="false">IF(AND(L49&lt;&gt;"",M49&lt;&gt;""),"yes",IF(OR(L49&lt;&gt;"",M49&lt;&gt;""),"partial","no"))</f>
        <v>yes</v>
      </c>
    </row>
    <row r="50" customFormat="false" ht="15" hidden="false" customHeight="true" outlineLevel="0" collapsed="false">
      <c r="A50" s="11" t="s">
        <v>8</v>
      </c>
      <c r="B50" s="11" t="s">
        <v>63</v>
      </c>
      <c r="C50" s="11" t="s">
        <v>64</v>
      </c>
      <c r="D50" s="11" t="s">
        <v>466</v>
      </c>
      <c r="E50" s="11" t="s">
        <v>435</v>
      </c>
      <c r="F50" s="11" t="s">
        <v>446</v>
      </c>
      <c r="G50" s="11" t="s">
        <v>437</v>
      </c>
      <c r="H50" s="11" t="s">
        <v>438</v>
      </c>
      <c r="I50" s="11"/>
      <c r="J50" s="12" t="s">
        <v>439</v>
      </c>
      <c r="K50" s="12" t="s">
        <v>439</v>
      </c>
      <c r="L50" s="13" t="s">
        <v>65</v>
      </c>
      <c r="M50" s="13" t="s">
        <v>440</v>
      </c>
      <c r="N50" s="11" t="str">
        <f aca="false">IF(AND(L50&lt;&gt;"",M50&lt;&gt;""),"yes",IF(OR(L50&lt;&gt;"",M50&lt;&gt;""),"partial","no"))</f>
        <v>yes</v>
      </c>
    </row>
    <row r="51" customFormat="false" ht="15" hidden="false" customHeight="true" outlineLevel="0" collapsed="false">
      <c r="A51" s="11" t="s">
        <v>8</v>
      </c>
      <c r="B51" s="11" t="s">
        <v>41</v>
      </c>
      <c r="C51" s="11" t="s">
        <v>42</v>
      </c>
      <c r="D51" s="11" t="s">
        <v>467</v>
      </c>
      <c r="E51" s="11" t="s">
        <v>435</v>
      </c>
      <c r="F51" s="11" t="s">
        <v>446</v>
      </c>
      <c r="G51" s="11" t="s">
        <v>437</v>
      </c>
      <c r="H51" s="11" t="s">
        <v>438</v>
      </c>
      <c r="I51" s="11"/>
      <c r="J51" s="12" t="s">
        <v>439</v>
      </c>
      <c r="K51" s="12" t="s">
        <v>439</v>
      </c>
      <c r="L51" s="13" t="s">
        <v>43</v>
      </c>
      <c r="M51" s="13" t="s">
        <v>440</v>
      </c>
      <c r="N51" s="11" t="str">
        <f aca="false">IF(AND(L51&lt;&gt;"",M51&lt;&gt;""),"yes",IF(OR(L51&lt;&gt;"",M51&lt;&gt;""),"partial","no"))</f>
        <v>yes</v>
      </c>
    </row>
    <row r="52" customFormat="false" ht="15" hidden="false" customHeight="true" outlineLevel="0" collapsed="false">
      <c r="A52" s="11" t="s">
        <v>8</v>
      </c>
      <c r="B52" s="11" t="s">
        <v>291</v>
      </c>
      <c r="C52" s="11" t="s">
        <v>292</v>
      </c>
      <c r="D52" s="11" t="s">
        <v>468</v>
      </c>
      <c r="E52" s="11" t="s">
        <v>435</v>
      </c>
      <c r="F52" s="11" t="s">
        <v>446</v>
      </c>
      <c r="G52" s="11" t="s">
        <v>437</v>
      </c>
      <c r="H52" s="11" t="s">
        <v>438</v>
      </c>
      <c r="I52" s="11"/>
      <c r="J52" s="12" t="s">
        <v>439</v>
      </c>
      <c r="K52" s="12" t="s">
        <v>439</v>
      </c>
      <c r="L52" s="13" t="s">
        <v>293</v>
      </c>
      <c r="M52" s="13" t="s">
        <v>296</v>
      </c>
      <c r="N52" s="11" t="str">
        <f aca="false">IF(AND(L52&lt;&gt;"",M52&lt;&gt;""),"yes",IF(OR(L52&lt;&gt;"",M52&lt;&gt;""),"partial","no"))</f>
        <v>yes</v>
      </c>
    </row>
    <row r="53" customFormat="false" ht="15" hidden="false" customHeight="true" outlineLevel="0" collapsed="false">
      <c r="A53" s="11" t="s">
        <v>8</v>
      </c>
      <c r="B53" s="11" t="s">
        <v>159</v>
      </c>
      <c r="C53" s="11" t="s">
        <v>160</v>
      </c>
      <c r="D53" s="11" t="s">
        <v>469</v>
      </c>
      <c r="E53" s="11" t="s">
        <v>435</v>
      </c>
      <c r="F53" s="11" t="s">
        <v>449</v>
      </c>
      <c r="G53" s="11" t="s">
        <v>437</v>
      </c>
      <c r="H53" s="11" t="s">
        <v>438</v>
      </c>
      <c r="I53" s="11"/>
      <c r="J53" s="12" t="s">
        <v>439</v>
      </c>
      <c r="K53" s="12" t="s">
        <v>439</v>
      </c>
      <c r="L53" s="13" t="s">
        <v>161</v>
      </c>
      <c r="M53" s="13" t="s">
        <v>440</v>
      </c>
      <c r="N53" s="11" t="str">
        <f aca="false">IF(AND(L53&lt;&gt;"",M53&lt;&gt;""),"yes",IF(OR(L53&lt;&gt;"",M53&lt;&gt;""),"partial","no"))</f>
        <v>yes</v>
      </c>
    </row>
    <row r="54" customFormat="false" ht="15" hidden="false" customHeight="true" outlineLevel="0" collapsed="false">
      <c r="A54" s="11" t="s">
        <v>8</v>
      </c>
      <c r="B54" s="11" t="s">
        <v>228</v>
      </c>
      <c r="C54" s="11" t="s">
        <v>229</v>
      </c>
      <c r="D54" s="11" t="s">
        <v>469</v>
      </c>
      <c r="E54" s="11" t="s">
        <v>435</v>
      </c>
      <c r="F54" s="11" t="s">
        <v>449</v>
      </c>
      <c r="G54" s="11" t="s">
        <v>437</v>
      </c>
      <c r="H54" s="11" t="s">
        <v>438</v>
      </c>
      <c r="I54" s="11"/>
      <c r="J54" s="12" t="s">
        <v>439</v>
      </c>
      <c r="K54" s="12" t="s">
        <v>439</v>
      </c>
      <c r="L54" s="13" t="s">
        <v>230</v>
      </c>
      <c r="M54" s="13" t="s">
        <v>440</v>
      </c>
      <c r="N54" s="11" t="str">
        <f aca="false">IF(AND(L54&lt;&gt;"",M54&lt;&gt;""),"yes",IF(OR(L54&lt;&gt;"",M54&lt;&gt;""),"partial","no"))</f>
        <v>yes</v>
      </c>
    </row>
    <row r="55" customFormat="false" ht="15" hidden="false" customHeight="true" outlineLevel="0" collapsed="false">
      <c r="A55" s="11" t="s">
        <v>8</v>
      </c>
      <c r="B55" s="11" t="s">
        <v>153</v>
      </c>
      <c r="C55" s="11" t="s">
        <v>154</v>
      </c>
      <c r="D55" s="11" t="s">
        <v>470</v>
      </c>
      <c r="E55" s="11" t="s">
        <v>435</v>
      </c>
      <c r="F55" s="11" t="s">
        <v>452</v>
      </c>
      <c r="G55" s="11" t="s">
        <v>437</v>
      </c>
      <c r="H55" s="11" t="s">
        <v>438</v>
      </c>
      <c r="I55" s="11"/>
      <c r="J55" s="12" t="s">
        <v>439</v>
      </c>
      <c r="K55" s="12" t="s">
        <v>439</v>
      </c>
      <c r="L55" s="13" t="s">
        <v>155</v>
      </c>
      <c r="M55" s="13" t="s">
        <v>440</v>
      </c>
      <c r="N55" s="11" t="str">
        <f aca="false">IF(AND(L55&lt;&gt;"",M55&lt;&gt;""),"yes",IF(OR(L55&lt;&gt;"",M55&lt;&gt;""),"partial","no"))</f>
        <v>yes</v>
      </c>
    </row>
    <row r="56" customFormat="false" ht="15" hidden="false" customHeight="true" outlineLevel="0" collapsed="false">
      <c r="A56" s="11" t="s">
        <v>8</v>
      </c>
      <c r="B56" s="11" t="s">
        <v>89</v>
      </c>
      <c r="C56" s="11" t="s">
        <v>90</v>
      </c>
      <c r="D56" s="11" t="s">
        <v>471</v>
      </c>
      <c r="E56" s="11" t="s">
        <v>435</v>
      </c>
      <c r="F56" s="11" t="s">
        <v>452</v>
      </c>
      <c r="G56" s="11" t="s">
        <v>437</v>
      </c>
      <c r="H56" s="11" t="s">
        <v>438</v>
      </c>
      <c r="I56" s="11"/>
      <c r="J56" s="12" t="s">
        <v>439</v>
      </c>
      <c r="K56" s="12" t="s">
        <v>439</v>
      </c>
      <c r="L56" s="13" t="s">
        <v>91</v>
      </c>
      <c r="M56" s="13" t="s">
        <v>440</v>
      </c>
      <c r="N56" s="11" t="str">
        <f aca="false">IF(AND(L56&lt;&gt;"",M56&lt;&gt;""),"yes",IF(OR(L56&lt;&gt;"",M56&lt;&gt;""),"partial","no"))</f>
        <v>yes</v>
      </c>
    </row>
    <row r="57" customFormat="false" ht="15" hidden="false" customHeight="true" outlineLevel="0" collapsed="false">
      <c r="A57" s="11" t="s">
        <v>8</v>
      </c>
      <c r="B57" s="11" t="s">
        <v>298</v>
      </c>
      <c r="C57" s="11" t="s">
        <v>299</v>
      </c>
      <c r="D57" s="11" t="s">
        <v>471</v>
      </c>
      <c r="E57" s="11" t="s">
        <v>435</v>
      </c>
      <c r="F57" s="11" t="s">
        <v>452</v>
      </c>
      <c r="G57" s="11" t="s">
        <v>437</v>
      </c>
      <c r="H57" s="11" t="s">
        <v>438</v>
      </c>
      <c r="I57" s="11"/>
      <c r="J57" s="12" t="s">
        <v>439</v>
      </c>
      <c r="K57" s="12" t="s">
        <v>439</v>
      </c>
      <c r="L57" s="13" t="s">
        <v>300</v>
      </c>
      <c r="M57" s="13" t="s">
        <v>440</v>
      </c>
      <c r="N57" s="11" t="str">
        <f aca="false">IF(AND(L57&lt;&gt;"",M57&lt;&gt;""),"yes",IF(OR(L57&lt;&gt;"",M57&lt;&gt;""),"partial","no"))</f>
        <v>yes</v>
      </c>
    </row>
    <row r="58" customFormat="false" ht="15" hidden="false" customHeight="true" outlineLevel="0" collapsed="false">
      <c r="A58" s="11" t="s">
        <v>8</v>
      </c>
      <c r="B58" s="11" t="s">
        <v>147</v>
      </c>
      <c r="C58" s="11" t="s">
        <v>148</v>
      </c>
      <c r="D58" s="11" t="s">
        <v>471</v>
      </c>
      <c r="E58" s="11" t="s">
        <v>435</v>
      </c>
      <c r="F58" s="11" t="s">
        <v>452</v>
      </c>
      <c r="G58" s="11" t="s">
        <v>437</v>
      </c>
      <c r="H58" s="11" t="s">
        <v>438</v>
      </c>
      <c r="I58" s="11"/>
      <c r="J58" s="12" t="s">
        <v>439</v>
      </c>
      <c r="K58" s="12" t="s">
        <v>439</v>
      </c>
      <c r="L58" s="13" t="s">
        <v>149</v>
      </c>
      <c r="M58" s="13" t="s">
        <v>440</v>
      </c>
      <c r="N58" s="11" t="str">
        <f aca="false">IF(AND(L58&lt;&gt;"",M58&lt;&gt;""),"yes",IF(OR(L58&lt;&gt;"",M58&lt;&gt;""),"partial","no"))</f>
        <v>yes</v>
      </c>
    </row>
    <row r="59" customFormat="false" ht="15" hidden="false" customHeight="true" outlineLevel="0" collapsed="false">
      <c r="A59" s="11" t="s">
        <v>8</v>
      </c>
      <c r="B59" s="11" t="s">
        <v>356</v>
      </c>
      <c r="C59" s="11" t="s">
        <v>357</v>
      </c>
      <c r="D59" s="11" t="s">
        <v>472</v>
      </c>
      <c r="E59" s="11" t="s">
        <v>435</v>
      </c>
      <c r="F59" s="11" t="s">
        <v>449</v>
      </c>
      <c r="G59" s="11" t="s">
        <v>437</v>
      </c>
      <c r="H59" s="11" t="s">
        <v>438</v>
      </c>
      <c r="I59" s="11"/>
      <c r="J59" s="12" t="s">
        <v>439</v>
      </c>
      <c r="K59" s="12" t="s">
        <v>439</v>
      </c>
      <c r="L59" s="13" t="s">
        <v>358</v>
      </c>
      <c r="M59" s="13" t="s">
        <v>440</v>
      </c>
      <c r="N59" s="11" t="str">
        <f aca="false">IF(AND(L59&lt;&gt;"",M59&lt;&gt;""),"yes",IF(OR(L59&lt;&gt;"",M59&lt;&gt;""),"partial","no"))</f>
        <v>yes</v>
      </c>
    </row>
    <row r="60" customFormat="false" ht="15" hidden="false" customHeight="true" outlineLevel="0" collapsed="false">
      <c r="A60" s="11" t="s">
        <v>8</v>
      </c>
      <c r="B60" s="11" t="s">
        <v>381</v>
      </c>
      <c r="C60" s="11" t="s">
        <v>382</v>
      </c>
      <c r="D60" s="11" t="s">
        <v>473</v>
      </c>
      <c r="E60" s="11" t="s">
        <v>435</v>
      </c>
      <c r="F60" s="11" t="s">
        <v>449</v>
      </c>
      <c r="G60" s="11" t="s">
        <v>437</v>
      </c>
      <c r="H60" s="11" t="s">
        <v>438</v>
      </c>
      <c r="I60" s="11"/>
      <c r="J60" s="12" t="s">
        <v>439</v>
      </c>
      <c r="K60" s="12" t="s">
        <v>439</v>
      </c>
      <c r="L60" s="13" t="s">
        <v>383</v>
      </c>
      <c r="M60" s="13" t="s">
        <v>385</v>
      </c>
      <c r="N60" s="11" t="str">
        <f aca="false">IF(AND(L60&lt;&gt;"",M60&lt;&gt;""),"yes",IF(OR(L60&lt;&gt;"",M60&lt;&gt;""),"partial","no"))</f>
        <v>yes</v>
      </c>
    </row>
    <row r="61" customFormat="false" ht="15" hidden="false" customHeight="true" outlineLevel="0" collapsed="false">
      <c r="A61" s="11" t="s">
        <v>8</v>
      </c>
      <c r="B61" s="11" t="s">
        <v>374</v>
      </c>
      <c r="C61" s="11" t="s">
        <v>375</v>
      </c>
      <c r="D61" s="11" t="s">
        <v>473</v>
      </c>
      <c r="E61" s="11" t="s">
        <v>435</v>
      </c>
      <c r="F61" s="11" t="s">
        <v>449</v>
      </c>
      <c r="G61" s="11" t="s">
        <v>437</v>
      </c>
      <c r="H61" s="11" t="s">
        <v>438</v>
      </c>
      <c r="I61" s="11"/>
      <c r="J61" s="12" t="s">
        <v>439</v>
      </c>
      <c r="K61" s="12" t="s">
        <v>439</v>
      </c>
      <c r="L61" s="13" t="s">
        <v>376</v>
      </c>
      <c r="M61" s="13" t="s">
        <v>379</v>
      </c>
      <c r="N61" s="11" t="str">
        <f aca="false">IF(AND(L61&lt;&gt;"",M61&lt;&gt;""),"yes",IF(OR(L61&lt;&gt;"",M61&lt;&gt;""),"partial","no"))</f>
        <v>yes</v>
      </c>
    </row>
    <row r="62" customFormat="false" ht="15" hidden="false" customHeight="true" outlineLevel="0" collapsed="false">
      <c r="A62" s="11" t="s">
        <v>8</v>
      </c>
      <c r="B62" s="11" t="s">
        <v>397</v>
      </c>
      <c r="C62" s="11" t="s">
        <v>398</v>
      </c>
      <c r="D62" s="11" t="s">
        <v>473</v>
      </c>
      <c r="E62" s="11" t="s">
        <v>435</v>
      </c>
      <c r="F62" s="11" t="s">
        <v>449</v>
      </c>
      <c r="G62" s="11" t="s">
        <v>437</v>
      </c>
      <c r="H62" s="11" t="s">
        <v>438</v>
      </c>
      <c r="I62" s="11"/>
      <c r="J62" s="12" t="s">
        <v>439</v>
      </c>
      <c r="K62" s="12" t="s">
        <v>439</v>
      </c>
      <c r="L62" s="13" t="s">
        <v>399</v>
      </c>
      <c r="M62" s="13" t="s">
        <v>440</v>
      </c>
      <c r="N62" s="11" t="str">
        <f aca="false">IF(AND(L62&lt;&gt;"",M62&lt;&gt;""),"yes",IF(OR(L62&lt;&gt;"",M62&lt;&gt;""),"partial","no"))</f>
        <v>yes</v>
      </c>
    </row>
    <row r="63" customFormat="false" ht="15" hidden="false" customHeight="true" outlineLevel="0" collapsed="false">
      <c r="A63" s="11" t="s">
        <v>8</v>
      </c>
      <c r="B63" s="11" t="s">
        <v>392</v>
      </c>
      <c r="C63" s="11" t="s">
        <v>393</v>
      </c>
      <c r="D63" s="11" t="s">
        <v>473</v>
      </c>
      <c r="E63" s="11" t="s">
        <v>435</v>
      </c>
      <c r="F63" s="11" t="s">
        <v>449</v>
      </c>
      <c r="G63" s="11" t="s">
        <v>437</v>
      </c>
      <c r="H63" s="11" t="s">
        <v>438</v>
      </c>
      <c r="I63" s="11"/>
      <c r="J63" s="12" t="s">
        <v>439</v>
      </c>
      <c r="K63" s="12" t="s">
        <v>439</v>
      </c>
      <c r="L63" s="13" t="s">
        <v>394</v>
      </c>
      <c r="M63" s="13" t="s">
        <v>440</v>
      </c>
      <c r="N63" s="11" t="str">
        <f aca="false">IF(AND(L63&lt;&gt;"",M63&lt;&gt;""),"yes",IF(OR(L63&lt;&gt;"",M63&lt;&gt;""),"partial","no"))</f>
        <v>yes</v>
      </c>
    </row>
    <row r="64" customFormat="false" ht="15" hidden="false" customHeight="true" outlineLevel="0" collapsed="false">
      <c r="A64" s="11" t="s">
        <v>8</v>
      </c>
      <c r="B64" s="11" t="s">
        <v>402</v>
      </c>
      <c r="C64" s="11" t="s">
        <v>403</v>
      </c>
      <c r="D64" s="11" t="s">
        <v>473</v>
      </c>
      <c r="E64" s="11" t="s">
        <v>435</v>
      </c>
      <c r="F64" s="11" t="s">
        <v>449</v>
      </c>
      <c r="G64" s="11" t="s">
        <v>437</v>
      </c>
      <c r="H64" s="11" t="s">
        <v>438</v>
      </c>
      <c r="I64" s="11"/>
      <c r="J64" s="12" t="s">
        <v>439</v>
      </c>
      <c r="K64" s="12" t="s">
        <v>439</v>
      </c>
      <c r="L64" s="13" t="s">
        <v>404</v>
      </c>
      <c r="M64" s="13" t="s">
        <v>440</v>
      </c>
      <c r="N64" s="11" t="str">
        <f aca="false">IF(AND(L64&lt;&gt;"",M64&lt;&gt;""),"yes",IF(OR(L64&lt;&gt;"",M64&lt;&gt;""),"partial","no"))</f>
        <v>yes</v>
      </c>
    </row>
    <row r="65" customFormat="false" ht="15" hidden="false" customHeight="true" outlineLevel="0" collapsed="false">
      <c r="A65" s="11" t="s">
        <v>8</v>
      </c>
      <c r="B65" s="11" t="s">
        <v>387</v>
      </c>
      <c r="C65" s="11" t="s">
        <v>388</v>
      </c>
      <c r="D65" s="11" t="s">
        <v>473</v>
      </c>
      <c r="E65" s="11" t="s">
        <v>435</v>
      </c>
      <c r="F65" s="11" t="s">
        <v>449</v>
      </c>
      <c r="G65" s="11" t="s">
        <v>437</v>
      </c>
      <c r="H65" s="11" t="s">
        <v>438</v>
      </c>
      <c r="I65" s="11"/>
      <c r="J65" s="12" t="s">
        <v>439</v>
      </c>
      <c r="K65" s="12" t="s">
        <v>439</v>
      </c>
      <c r="L65" s="13" t="s">
        <v>389</v>
      </c>
      <c r="M65" s="13" t="s">
        <v>440</v>
      </c>
      <c r="N65" s="11" t="str">
        <f aca="false">IF(AND(L65&lt;&gt;"",M65&lt;&gt;""),"yes",IF(OR(L65&lt;&gt;"",M65&lt;&gt;""),"partial","no"))</f>
        <v>yes</v>
      </c>
    </row>
    <row r="66" customFormat="false" ht="15" hidden="false" customHeight="true" outlineLevel="0" collapsed="false">
      <c r="A66" s="11" t="s">
        <v>8</v>
      </c>
      <c r="B66" s="11" t="s">
        <v>407</v>
      </c>
      <c r="C66" s="11" t="s">
        <v>408</v>
      </c>
      <c r="D66" s="11" t="s">
        <v>441</v>
      </c>
      <c r="E66" s="11" t="s">
        <v>435</v>
      </c>
      <c r="F66" s="11" t="s">
        <v>449</v>
      </c>
      <c r="G66" s="11" t="s">
        <v>474</v>
      </c>
      <c r="H66" s="11" t="s">
        <v>438</v>
      </c>
      <c r="I66" s="11"/>
      <c r="J66" s="12" t="s">
        <v>439</v>
      </c>
      <c r="K66" s="12" t="s">
        <v>439</v>
      </c>
      <c r="L66" s="13" t="s">
        <v>409</v>
      </c>
      <c r="M66" s="13" t="s">
        <v>440</v>
      </c>
      <c r="N66" s="11" t="str">
        <f aca="false">IF(AND(L66&lt;&gt;"",M66&lt;&gt;""),"yes",IF(OR(L66&lt;&gt;"",M66&lt;&gt;""),"partial","no"))</f>
        <v>yes</v>
      </c>
    </row>
    <row r="67" customFormat="false" ht="15" hidden="false" customHeight="true" outlineLevel="0" collapsed="false">
      <c r="A67" s="11" t="s">
        <v>9</v>
      </c>
      <c r="B67" s="11" t="s">
        <v>475</v>
      </c>
      <c r="C67" s="11" t="s">
        <v>476</v>
      </c>
      <c r="D67" s="11" t="s">
        <v>477</v>
      </c>
      <c r="E67" s="11" t="s">
        <v>435</v>
      </c>
      <c r="F67" s="11" t="s">
        <v>478</v>
      </c>
      <c r="G67" s="11" t="s">
        <v>437</v>
      </c>
      <c r="H67" s="11" t="s">
        <v>438</v>
      </c>
      <c r="I67" s="11"/>
      <c r="J67" s="12" t="s">
        <v>439</v>
      </c>
      <c r="K67" s="12" t="s">
        <v>439</v>
      </c>
      <c r="L67" s="13"/>
      <c r="M67" s="13"/>
      <c r="N67" s="11" t="str">
        <f aca="false">IF(AND(L67&lt;&gt;"",M67&lt;&gt;""),"yes",IF(OR(L67&lt;&gt;"",M67&lt;&gt;""),"partial","no"))</f>
        <v>no</v>
      </c>
    </row>
    <row r="68" customFormat="false" ht="15" hidden="false" customHeight="true" outlineLevel="0" collapsed="false">
      <c r="A68" s="11" t="s">
        <v>9</v>
      </c>
      <c r="B68" s="11" t="s">
        <v>479</v>
      </c>
      <c r="C68" s="11" t="s">
        <v>480</v>
      </c>
      <c r="D68" s="11" t="s">
        <v>477</v>
      </c>
      <c r="E68" s="11" t="s">
        <v>435</v>
      </c>
      <c r="F68" s="11" t="s">
        <v>478</v>
      </c>
      <c r="G68" s="11" t="s">
        <v>437</v>
      </c>
      <c r="H68" s="11" t="s">
        <v>438</v>
      </c>
      <c r="I68" s="11"/>
      <c r="J68" s="12" t="s">
        <v>439</v>
      </c>
      <c r="K68" s="12" t="s">
        <v>439</v>
      </c>
      <c r="L68" s="13"/>
      <c r="M68" s="13"/>
      <c r="N68" s="11" t="str">
        <f aca="false">IF(AND(L68&lt;&gt;"",M68&lt;&gt;""),"yes",IF(OR(L68&lt;&gt;"",M68&lt;&gt;""),"partial","no"))</f>
        <v>no</v>
      </c>
    </row>
    <row r="69" customFormat="false" ht="15" hidden="false" customHeight="true" outlineLevel="0" collapsed="false">
      <c r="A69" s="11" t="s">
        <v>9</v>
      </c>
      <c r="B69" s="11" t="s">
        <v>481</v>
      </c>
      <c r="C69" s="11" t="s">
        <v>482</v>
      </c>
      <c r="D69" s="11" t="s">
        <v>477</v>
      </c>
      <c r="E69" s="11" t="s">
        <v>435</v>
      </c>
      <c r="F69" s="11" t="s">
        <v>478</v>
      </c>
      <c r="G69" s="11" t="s">
        <v>437</v>
      </c>
      <c r="H69" s="11" t="s">
        <v>438</v>
      </c>
      <c r="I69" s="11"/>
      <c r="J69" s="12" t="s">
        <v>439</v>
      </c>
      <c r="K69" s="12" t="s">
        <v>439</v>
      </c>
      <c r="L69" s="13"/>
      <c r="M69" s="13"/>
      <c r="N69" s="11" t="str">
        <f aca="false">IF(AND(L69&lt;&gt;"",M69&lt;&gt;""),"yes",IF(OR(L69&lt;&gt;"",M69&lt;&gt;""),"partial","no"))</f>
        <v>no</v>
      </c>
    </row>
    <row r="70" customFormat="false" ht="15" hidden="false" customHeight="true" outlineLevel="0" collapsed="false">
      <c r="A70" s="11" t="s">
        <v>9</v>
      </c>
      <c r="B70" s="11" t="s">
        <v>483</v>
      </c>
      <c r="C70" s="11" t="s">
        <v>484</v>
      </c>
      <c r="D70" s="11" t="s">
        <v>477</v>
      </c>
      <c r="E70" s="11" t="s">
        <v>435</v>
      </c>
      <c r="F70" s="11" t="s">
        <v>478</v>
      </c>
      <c r="G70" s="11" t="s">
        <v>437</v>
      </c>
      <c r="H70" s="11" t="s">
        <v>438</v>
      </c>
      <c r="I70" s="11"/>
      <c r="J70" s="12" t="s">
        <v>439</v>
      </c>
      <c r="K70" s="12" t="s">
        <v>439</v>
      </c>
      <c r="L70" s="13"/>
      <c r="M70" s="13"/>
      <c r="N70" s="11" t="str">
        <f aca="false">IF(AND(L70&lt;&gt;"",M70&lt;&gt;""),"yes",IF(OR(L70&lt;&gt;"",M70&lt;&gt;""),"partial","no"))</f>
        <v>no</v>
      </c>
    </row>
    <row r="71" customFormat="false" ht="15" hidden="false" customHeight="true" outlineLevel="0" collapsed="false">
      <c r="A71" s="11" t="s">
        <v>9</v>
      </c>
      <c r="B71" s="11" t="s">
        <v>485</v>
      </c>
      <c r="C71" s="11" t="s">
        <v>486</v>
      </c>
      <c r="D71" s="11" t="s">
        <v>477</v>
      </c>
      <c r="E71" s="11" t="s">
        <v>435</v>
      </c>
      <c r="F71" s="11" t="s">
        <v>478</v>
      </c>
      <c r="G71" s="11" t="s">
        <v>437</v>
      </c>
      <c r="H71" s="11" t="s">
        <v>438</v>
      </c>
      <c r="I71" s="11"/>
      <c r="J71" s="12" t="s">
        <v>439</v>
      </c>
      <c r="K71" s="12" t="s">
        <v>439</v>
      </c>
      <c r="L71" s="13"/>
      <c r="M71" s="13"/>
      <c r="N71" s="11" t="str">
        <f aca="false">IF(AND(L71&lt;&gt;"",M71&lt;&gt;""),"yes",IF(OR(L71&lt;&gt;"",M71&lt;&gt;""),"partial","no"))</f>
        <v>no</v>
      </c>
    </row>
    <row r="72" customFormat="false" ht="15" hidden="false" customHeight="true" outlineLevel="0" collapsed="false">
      <c r="A72" s="11" t="s">
        <v>9</v>
      </c>
      <c r="B72" s="11" t="s">
        <v>487</v>
      </c>
      <c r="C72" s="11" t="s">
        <v>488</v>
      </c>
      <c r="D72" s="11" t="s">
        <v>477</v>
      </c>
      <c r="E72" s="11" t="s">
        <v>435</v>
      </c>
      <c r="F72" s="11" t="s">
        <v>478</v>
      </c>
      <c r="G72" s="11" t="s">
        <v>437</v>
      </c>
      <c r="H72" s="11" t="s">
        <v>438</v>
      </c>
      <c r="I72" s="11"/>
      <c r="J72" s="12" t="s">
        <v>439</v>
      </c>
      <c r="K72" s="12" t="s">
        <v>439</v>
      </c>
      <c r="L72" s="13"/>
      <c r="M72" s="13"/>
      <c r="N72" s="11" t="str">
        <f aca="false">IF(AND(L72&lt;&gt;"",M72&lt;&gt;""),"yes",IF(OR(L72&lt;&gt;"",M72&lt;&gt;""),"partial","no"))</f>
        <v>no</v>
      </c>
    </row>
    <row r="73" customFormat="false" ht="15" hidden="false" customHeight="true" outlineLevel="0" collapsed="false">
      <c r="A73" s="11" t="s">
        <v>9</v>
      </c>
      <c r="B73" s="11" t="s">
        <v>489</v>
      </c>
      <c r="C73" s="11" t="s">
        <v>490</v>
      </c>
      <c r="D73" s="11" t="s">
        <v>477</v>
      </c>
      <c r="E73" s="11" t="s">
        <v>435</v>
      </c>
      <c r="F73" s="11" t="s">
        <v>478</v>
      </c>
      <c r="G73" s="11" t="s">
        <v>437</v>
      </c>
      <c r="H73" s="11" t="s">
        <v>438</v>
      </c>
      <c r="I73" s="11"/>
      <c r="J73" s="12" t="s">
        <v>439</v>
      </c>
      <c r="K73" s="12" t="s">
        <v>439</v>
      </c>
      <c r="L73" s="13"/>
      <c r="M73" s="13"/>
      <c r="N73" s="11" t="str">
        <f aca="false">IF(AND(L73&lt;&gt;"",M73&lt;&gt;""),"yes",IF(OR(L73&lt;&gt;"",M73&lt;&gt;""),"partial","no"))</f>
        <v>no</v>
      </c>
    </row>
    <row r="74" customFormat="false" ht="15" hidden="false" customHeight="true" outlineLevel="0" collapsed="false">
      <c r="A74" s="11" t="s">
        <v>9</v>
      </c>
      <c r="B74" s="11" t="s">
        <v>475</v>
      </c>
      <c r="C74" s="11" t="s">
        <v>476</v>
      </c>
      <c r="D74" s="11" t="s">
        <v>477</v>
      </c>
      <c r="E74" s="11" t="s">
        <v>435</v>
      </c>
      <c r="F74" s="11" t="s">
        <v>478</v>
      </c>
      <c r="G74" s="11" t="s">
        <v>437</v>
      </c>
      <c r="H74" s="11" t="s">
        <v>438</v>
      </c>
      <c r="I74" s="11"/>
      <c r="J74" s="12" t="s">
        <v>439</v>
      </c>
      <c r="K74" s="12" t="s">
        <v>439</v>
      </c>
      <c r="L74" s="13"/>
      <c r="M74" s="13"/>
      <c r="N74" s="11" t="str">
        <f aca="false">IF(AND(L74&lt;&gt;"",M74&lt;&gt;""),"yes",IF(OR(L74&lt;&gt;"",M74&lt;&gt;""),"partial","no"))</f>
        <v>no</v>
      </c>
    </row>
    <row r="75" customFormat="false" ht="15" hidden="false" customHeight="true" outlineLevel="0" collapsed="false">
      <c r="A75" s="11" t="s">
        <v>9</v>
      </c>
      <c r="B75" s="11" t="s">
        <v>479</v>
      </c>
      <c r="C75" s="11" t="s">
        <v>480</v>
      </c>
      <c r="D75" s="11" t="s">
        <v>477</v>
      </c>
      <c r="E75" s="11" t="s">
        <v>435</v>
      </c>
      <c r="F75" s="11" t="s">
        <v>478</v>
      </c>
      <c r="G75" s="11" t="s">
        <v>437</v>
      </c>
      <c r="H75" s="11" t="s">
        <v>438</v>
      </c>
      <c r="I75" s="11"/>
      <c r="J75" s="12" t="s">
        <v>439</v>
      </c>
      <c r="K75" s="12" t="s">
        <v>439</v>
      </c>
      <c r="L75" s="13"/>
      <c r="M75" s="13"/>
      <c r="N75" s="11" t="str">
        <f aca="false">IF(AND(L75&lt;&gt;"",M75&lt;&gt;""),"yes",IF(OR(L75&lt;&gt;"",M75&lt;&gt;""),"partial","no"))</f>
        <v>no</v>
      </c>
    </row>
    <row r="76" customFormat="false" ht="15" hidden="false" customHeight="true" outlineLevel="0" collapsed="false">
      <c r="A76" s="11" t="s">
        <v>9</v>
      </c>
      <c r="B76" s="11" t="s">
        <v>481</v>
      </c>
      <c r="C76" s="11" t="s">
        <v>482</v>
      </c>
      <c r="D76" s="11" t="s">
        <v>477</v>
      </c>
      <c r="E76" s="11" t="s">
        <v>435</v>
      </c>
      <c r="F76" s="11" t="s">
        <v>478</v>
      </c>
      <c r="G76" s="11" t="s">
        <v>437</v>
      </c>
      <c r="H76" s="11" t="s">
        <v>438</v>
      </c>
      <c r="I76" s="11"/>
      <c r="J76" s="12" t="s">
        <v>439</v>
      </c>
      <c r="K76" s="12" t="s">
        <v>439</v>
      </c>
      <c r="L76" s="13"/>
      <c r="M76" s="13"/>
      <c r="N76" s="11" t="str">
        <f aca="false">IF(AND(L76&lt;&gt;"",M76&lt;&gt;""),"yes",IF(OR(L76&lt;&gt;"",M76&lt;&gt;""),"partial","no"))</f>
        <v>no</v>
      </c>
    </row>
    <row r="77" customFormat="false" ht="15" hidden="false" customHeight="true" outlineLevel="0" collapsed="false">
      <c r="A77" s="11" t="s">
        <v>9</v>
      </c>
      <c r="B77" s="11" t="s">
        <v>483</v>
      </c>
      <c r="C77" s="11" t="s">
        <v>484</v>
      </c>
      <c r="D77" s="11" t="s">
        <v>477</v>
      </c>
      <c r="E77" s="11" t="s">
        <v>435</v>
      </c>
      <c r="F77" s="11" t="s">
        <v>478</v>
      </c>
      <c r="G77" s="11" t="s">
        <v>437</v>
      </c>
      <c r="H77" s="11" t="s">
        <v>438</v>
      </c>
      <c r="I77" s="11"/>
      <c r="J77" s="12" t="s">
        <v>439</v>
      </c>
      <c r="K77" s="12" t="s">
        <v>439</v>
      </c>
      <c r="L77" s="13"/>
      <c r="M77" s="13"/>
      <c r="N77" s="11" t="str">
        <f aca="false">IF(AND(L77&lt;&gt;"",M77&lt;&gt;""),"yes",IF(OR(L77&lt;&gt;"",M77&lt;&gt;""),"partial","no"))</f>
        <v>no</v>
      </c>
    </row>
    <row r="78" customFormat="false" ht="15" hidden="false" customHeight="true" outlineLevel="0" collapsed="false">
      <c r="A78" s="11" t="s">
        <v>9</v>
      </c>
      <c r="B78" s="11" t="s">
        <v>491</v>
      </c>
      <c r="C78" s="11" t="s">
        <v>492</v>
      </c>
      <c r="D78" s="11" t="s">
        <v>477</v>
      </c>
      <c r="E78" s="11" t="s">
        <v>435</v>
      </c>
      <c r="F78" s="11" t="s">
        <v>478</v>
      </c>
      <c r="G78" s="11" t="s">
        <v>437</v>
      </c>
      <c r="H78" s="11" t="s">
        <v>438</v>
      </c>
      <c r="I78" s="11"/>
      <c r="J78" s="12" t="s">
        <v>439</v>
      </c>
      <c r="K78" s="12" t="s">
        <v>439</v>
      </c>
      <c r="L78" s="13"/>
      <c r="M78" s="13"/>
      <c r="N78" s="11" t="str">
        <f aca="false">IF(AND(L78&lt;&gt;"",M78&lt;&gt;""),"yes",IF(OR(L78&lt;&gt;"",M78&lt;&gt;""),"partial","no"))</f>
        <v>no</v>
      </c>
    </row>
    <row r="79" customFormat="false" ht="15" hidden="false" customHeight="true" outlineLevel="0" collapsed="false">
      <c r="A79" s="11" t="s">
        <v>9</v>
      </c>
      <c r="B79" s="11" t="s">
        <v>485</v>
      </c>
      <c r="C79" s="11" t="s">
        <v>486</v>
      </c>
      <c r="D79" s="11" t="s">
        <v>477</v>
      </c>
      <c r="E79" s="11" t="s">
        <v>435</v>
      </c>
      <c r="F79" s="11" t="s">
        <v>478</v>
      </c>
      <c r="G79" s="11" t="s">
        <v>437</v>
      </c>
      <c r="H79" s="11" t="s">
        <v>438</v>
      </c>
      <c r="I79" s="11"/>
      <c r="J79" s="12" t="s">
        <v>439</v>
      </c>
      <c r="K79" s="12" t="s">
        <v>439</v>
      </c>
      <c r="L79" s="13"/>
      <c r="M79" s="13"/>
      <c r="N79" s="11" t="str">
        <f aca="false">IF(AND(L79&lt;&gt;"",M79&lt;&gt;""),"yes",IF(OR(L79&lt;&gt;"",M79&lt;&gt;""),"partial","no"))</f>
        <v>no</v>
      </c>
    </row>
    <row r="80" customFormat="false" ht="15" hidden="false" customHeight="true" outlineLevel="0" collapsed="false">
      <c r="A80" s="11" t="s">
        <v>9</v>
      </c>
      <c r="B80" s="11" t="s">
        <v>487</v>
      </c>
      <c r="C80" s="11" t="s">
        <v>488</v>
      </c>
      <c r="D80" s="11" t="s">
        <v>477</v>
      </c>
      <c r="E80" s="11" t="s">
        <v>435</v>
      </c>
      <c r="F80" s="11" t="s">
        <v>478</v>
      </c>
      <c r="G80" s="11" t="s">
        <v>437</v>
      </c>
      <c r="H80" s="11" t="s">
        <v>438</v>
      </c>
      <c r="I80" s="11"/>
      <c r="J80" s="12" t="s">
        <v>439</v>
      </c>
      <c r="K80" s="12" t="s">
        <v>439</v>
      </c>
      <c r="L80" s="13"/>
      <c r="M80" s="13"/>
      <c r="N80" s="11" t="str">
        <f aca="false">IF(AND(L80&lt;&gt;"",M80&lt;&gt;""),"yes",IF(OR(L80&lt;&gt;"",M80&lt;&gt;""),"partial","no"))</f>
        <v>no</v>
      </c>
    </row>
    <row r="81" customFormat="false" ht="15" hidden="false" customHeight="true" outlineLevel="0" collapsed="false">
      <c r="A81" s="11" t="s">
        <v>9</v>
      </c>
      <c r="B81" s="11" t="s">
        <v>489</v>
      </c>
      <c r="C81" s="11" t="s">
        <v>490</v>
      </c>
      <c r="D81" s="11" t="s">
        <v>477</v>
      </c>
      <c r="E81" s="11" t="s">
        <v>435</v>
      </c>
      <c r="F81" s="11" t="s">
        <v>478</v>
      </c>
      <c r="G81" s="11" t="s">
        <v>437</v>
      </c>
      <c r="H81" s="11" t="s">
        <v>438</v>
      </c>
      <c r="I81" s="11"/>
      <c r="J81" s="12" t="s">
        <v>439</v>
      </c>
      <c r="K81" s="12" t="s">
        <v>439</v>
      </c>
      <c r="L81" s="13"/>
      <c r="M81" s="13"/>
      <c r="N81" s="11" t="str">
        <f aca="false">IF(AND(L81&lt;&gt;"",M81&lt;&gt;""),"yes",IF(OR(L81&lt;&gt;"",M81&lt;&gt;""),"partial","no"))</f>
        <v>no</v>
      </c>
    </row>
    <row r="82" customFormat="false" ht="15" hidden="false" customHeight="true" outlineLevel="0" collapsed="false">
      <c r="A82" s="11" t="s">
        <v>9</v>
      </c>
      <c r="B82" s="11" t="s">
        <v>493</v>
      </c>
      <c r="C82" s="11" t="s">
        <v>494</v>
      </c>
      <c r="D82" s="11" t="s">
        <v>495</v>
      </c>
      <c r="E82" s="11" t="s">
        <v>435</v>
      </c>
      <c r="F82" s="11" t="s">
        <v>478</v>
      </c>
      <c r="G82" s="11" t="s">
        <v>437</v>
      </c>
      <c r="H82" s="11" t="s">
        <v>438</v>
      </c>
      <c r="I82" s="11"/>
      <c r="J82" s="12" t="s">
        <v>439</v>
      </c>
      <c r="K82" s="12" t="s">
        <v>439</v>
      </c>
      <c r="L82" s="13"/>
      <c r="M82" s="13"/>
      <c r="N82" s="11" t="str">
        <f aca="false">IF(AND(L82&lt;&gt;"",M82&lt;&gt;""),"yes",IF(OR(L82&lt;&gt;"",M82&lt;&gt;""),"partial","no"))</f>
        <v>no</v>
      </c>
    </row>
    <row r="83" customFormat="false" ht="15" hidden="false" customHeight="true" outlineLevel="0" collapsed="false">
      <c r="A83" s="11" t="s">
        <v>9</v>
      </c>
      <c r="B83" s="11" t="s">
        <v>496</v>
      </c>
      <c r="C83" s="11" t="s">
        <v>497</v>
      </c>
      <c r="D83" s="11" t="s">
        <v>495</v>
      </c>
      <c r="E83" s="11" t="s">
        <v>435</v>
      </c>
      <c r="F83" s="11" t="s">
        <v>478</v>
      </c>
      <c r="G83" s="11" t="s">
        <v>437</v>
      </c>
      <c r="H83" s="11" t="s">
        <v>438</v>
      </c>
      <c r="I83" s="11"/>
      <c r="J83" s="12" t="s">
        <v>439</v>
      </c>
      <c r="K83" s="12" t="s">
        <v>439</v>
      </c>
      <c r="L83" s="13"/>
      <c r="M83" s="13"/>
      <c r="N83" s="11" t="str">
        <f aca="false">IF(AND(L83&lt;&gt;"",M83&lt;&gt;""),"yes",IF(OR(L83&lt;&gt;"",M83&lt;&gt;""),"partial","no"))</f>
        <v>no</v>
      </c>
    </row>
    <row r="84" customFormat="false" ht="15" hidden="false" customHeight="true" outlineLevel="0" collapsed="false">
      <c r="A84" s="11" t="s">
        <v>9</v>
      </c>
      <c r="B84" s="11" t="s">
        <v>498</v>
      </c>
      <c r="C84" s="11" t="s">
        <v>499</v>
      </c>
      <c r="D84" s="11" t="s">
        <v>495</v>
      </c>
      <c r="E84" s="11" t="s">
        <v>435</v>
      </c>
      <c r="F84" s="11" t="s">
        <v>478</v>
      </c>
      <c r="G84" s="11" t="s">
        <v>437</v>
      </c>
      <c r="H84" s="11" t="s">
        <v>438</v>
      </c>
      <c r="I84" s="11"/>
      <c r="J84" s="12" t="s">
        <v>439</v>
      </c>
      <c r="K84" s="12" t="s">
        <v>439</v>
      </c>
      <c r="L84" s="13"/>
      <c r="M84" s="13"/>
      <c r="N84" s="11" t="str">
        <f aca="false">IF(AND(L84&lt;&gt;"",M84&lt;&gt;""),"yes",IF(OR(L84&lt;&gt;"",M84&lt;&gt;""),"partial","no"))</f>
        <v>no</v>
      </c>
    </row>
    <row r="85" customFormat="false" ht="15" hidden="false" customHeight="true" outlineLevel="0" collapsed="false">
      <c r="A85" s="11" t="s">
        <v>9</v>
      </c>
      <c r="B85" s="11" t="s">
        <v>500</v>
      </c>
      <c r="C85" s="11" t="s">
        <v>501</v>
      </c>
      <c r="D85" s="11" t="s">
        <v>502</v>
      </c>
      <c r="E85" s="11" t="s">
        <v>435</v>
      </c>
      <c r="F85" s="11" t="s">
        <v>478</v>
      </c>
      <c r="G85" s="11" t="s">
        <v>437</v>
      </c>
      <c r="H85" s="11" t="s">
        <v>438</v>
      </c>
      <c r="I85" s="11"/>
      <c r="J85" s="12" t="s">
        <v>439</v>
      </c>
      <c r="K85" s="12" t="s">
        <v>439</v>
      </c>
      <c r="L85" s="13"/>
      <c r="M85" s="13"/>
      <c r="N85" s="11" t="str">
        <f aca="false">IF(AND(L85&lt;&gt;"",M85&lt;&gt;""),"yes",IF(OR(L85&lt;&gt;"",M85&lt;&gt;""),"partial","no"))</f>
        <v>no</v>
      </c>
    </row>
    <row r="86" customFormat="false" ht="15" hidden="false" customHeight="true" outlineLevel="0" collapsed="false">
      <c r="A86" s="11" t="s">
        <v>9</v>
      </c>
      <c r="B86" s="11" t="s">
        <v>503</v>
      </c>
      <c r="C86" s="11" t="s">
        <v>504</v>
      </c>
      <c r="D86" s="11" t="s">
        <v>502</v>
      </c>
      <c r="E86" s="11" t="s">
        <v>435</v>
      </c>
      <c r="F86" s="11" t="s">
        <v>478</v>
      </c>
      <c r="G86" s="11" t="s">
        <v>437</v>
      </c>
      <c r="H86" s="11" t="s">
        <v>438</v>
      </c>
      <c r="I86" s="11"/>
      <c r="J86" s="12" t="s">
        <v>439</v>
      </c>
      <c r="K86" s="12" t="s">
        <v>439</v>
      </c>
      <c r="L86" s="13"/>
      <c r="M86" s="13"/>
      <c r="N86" s="11" t="str">
        <f aca="false">IF(AND(L86&lt;&gt;"",M86&lt;&gt;""),"yes",IF(OR(L86&lt;&gt;"",M86&lt;&gt;""),"partial","no"))</f>
        <v>no</v>
      </c>
    </row>
    <row r="87" customFormat="false" ht="15" hidden="false" customHeight="true" outlineLevel="0" collapsed="false">
      <c r="A87" s="11" t="s">
        <v>9</v>
      </c>
      <c r="B87" s="11" t="s">
        <v>505</v>
      </c>
      <c r="C87" s="11" t="s">
        <v>506</v>
      </c>
      <c r="D87" s="11" t="s">
        <v>502</v>
      </c>
      <c r="E87" s="11" t="s">
        <v>435</v>
      </c>
      <c r="F87" s="11" t="s">
        <v>478</v>
      </c>
      <c r="G87" s="11" t="s">
        <v>437</v>
      </c>
      <c r="H87" s="11" t="s">
        <v>438</v>
      </c>
      <c r="I87" s="11"/>
      <c r="J87" s="12" t="s">
        <v>439</v>
      </c>
      <c r="K87" s="12" t="s">
        <v>439</v>
      </c>
      <c r="L87" s="13"/>
      <c r="M87" s="13"/>
      <c r="N87" s="11" t="str">
        <f aca="false">IF(AND(L87&lt;&gt;"",M87&lt;&gt;""),"yes",IF(OR(L87&lt;&gt;"",M87&lt;&gt;""),"partial","no"))</f>
        <v>no</v>
      </c>
    </row>
    <row r="88" customFormat="false" ht="15" hidden="false" customHeight="true" outlineLevel="0" collapsed="false">
      <c r="A88" s="11" t="s">
        <v>9</v>
      </c>
      <c r="B88" s="11" t="s">
        <v>507</v>
      </c>
      <c r="C88" s="11" t="s">
        <v>508</v>
      </c>
      <c r="D88" s="11" t="s">
        <v>502</v>
      </c>
      <c r="E88" s="11" t="s">
        <v>435</v>
      </c>
      <c r="F88" s="11" t="s">
        <v>478</v>
      </c>
      <c r="G88" s="11" t="s">
        <v>437</v>
      </c>
      <c r="H88" s="11" t="s">
        <v>438</v>
      </c>
      <c r="I88" s="11"/>
      <c r="J88" s="12" t="s">
        <v>439</v>
      </c>
      <c r="K88" s="12" t="s">
        <v>439</v>
      </c>
      <c r="L88" s="13"/>
      <c r="M88" s="13"/>
      <c r="N88" s="11" t="str">
        <f aca="false">IF(AND(L88&lt;&gt;"",M88&lt;&gt;""),"yes",IF(OR(L88&lt;&gt;"",M88&lt;&gt;""),"partial","no"))</f>
        <v>no</v>
      </c>
    </row>
    <row r="89" customFormat="false" ht="15" hidden="false" customHeight="true" outlineLevel="0" collapsed="false">
      <c r="A89" s="11" t="s">
        <v>9</v>
      </c>
      <c r="B89" s="11" t="s">
        <v>509</v>
      </c>
      <c r="C89" s="11" t="s">
        <v>510</v>
      </c>
      <c r="D89" s="11" t="s">
        <v>511</v>
      </c>
      <c r="E89" s="11" t="s">
        <v>435</v>
      </c>
      <c r="F89" s="11" t="s">
        <v>478</v>
      </c>
      <c r="G89" s="11" t="s">
        <v>437</v>
      </c>
      <c r="H89" s="11" t="s">
        <v>438</v>
      </c>
      <c r="I89" s="11"/>
      <c r="J89" s="12" t="s">
        <v>439</v>
      </c>
      <c r="K89" s="12" t="s">
        <v>439</v>
      </c>
      <c r="L89" s="13"/>
      <c r="M89" s="13"/>
      <c r="N89" s="11" t="str">
        <f aca="false">IF(AND(L89&lt;&gt;"",M89&lt;&gt;""),"yes",IF(OR(L89&lt;&gt;"",M89&lt;&gt;""),"partial","no"))</f>
        <v>no</v>
      </c>
    </row>
    <row r="90" customFormat="false" ht="15" hidden="false" customHeight="true" outlineLevel="0" collapsed="false">
      <c r="A90" s="11" t="s">
        <v>9</v>
      </c>
      <c r="B90" s="11" t="s">
        <v>512</v>
      </c>
      <c r="C90" s="11" t="s">
        <v>513</v>
      </c>
      <c r="D90" s="11" t="s">
        <v>514</v>
      </c>
      <c r="E90" s="11" t="s">
        <v>435</v>
      </c>
      <c r="F90" s="11" t="s">
        <v>478</v>
      </c>
      <c r="G90" s="11" t="s">
        <v>437</v>
      </c>
      <c r="H90" s="11" t="s">
        <v>438</v>
      </c>
      <c r="I90" s="11"/>
      <c r="J90" s="12" t="s">
        <v>439</v>
      </c>
      <c r="K90" s="12" t="s">
        <v>439</v>
      </c>
      <c r="L90" s="13"/>
      <c r="M90" s="13"/>
      <c r="N90" s="11" t="str">
        <f aca="false">IF(AND(L90&lt;&gt;"",M90&lt;&gt;""),"yes",IF(OR(L90&lt;&gt;"",M90&lt;&gt;""),"partial","no"))</f>
        <v>no</v>
      </c>
    </row>
    <row r="91" customFormat="false" ht="15" hidden="false" customHeight="true" outlineLevel="0" collapsed="false">
      <c r="A91" s="11" t="s">
        <v>9</v>
      </c>
      <c r="B91" s="11" t="s">
        <v>515</v>
      </c>
      <c r="C91" s="11" t="s">
        <v>516</v>
      </c>
      <c r="D91" s="11" t="s">
        <v>517</v>
      </c>
      <c r="E91" s="11" t="s">
        <v>435</v>
      </c>
      <c r="F91" s="11" t="s">
        <v>478</v>
      </c>
      <c r="G91" s="11" t="s">
        <v>437</v>
      </c>
      <c r="H91" s="11" t="s">
        <v>438</v>
      </c>
      <c r="I91" s="11"/>
      <c r="J91" s="12" t="s">
        <v>439</v>
      </c>
      <c r="K91" s="12" t="s">
        <v>439</v>
      </c>
      <c r="L91" s="13"/>
      <c r="M91" s="13"/>
      <c r="N91" s="11" t="str">
        <f aca="false">IF(AND(L91&lt;&gt;"",M91&lt;&gt;""),"yes",IF(OR(L91&lt;&gt;"",M91&lt;&gt;""),"partial","no"))</f>
        <v>no</v>
      </c>
    </row>
    <row r="92" customFormat="false" ht="15" hidden="false" customHeight="true" outlineLevel="0" collapsed="false">
      <c r="A92" s="11" t="s">
        <v>9</v>
      </c>
      <c r="B92" s="11" t="s">
        <v>518</v>
      </c>
      <c r="C92" s="11" t="s">
        <v>519</v>
      </c>
      <c r="D92" s="11" t="s">
        <v>434</v>
      </c>
      <c r="E92" s="11" t="s">
        <v>435</v>
      </c>
      <c r="F92" s="11" t="s">
        <v>478</v>
      </c>
      <c r="G92" s="11" t="s">
        <v>437</v>
      </c>
      <c r="H92" s="11" t="s">
        <v>438</v>
      </c>
      <c r="I92" s="11"/>
      <c r="J92" s="12" t="s">
        <v>439</v>
      </c>
      <c r="K92" s="12" t="s">
        <v>439</v>
      </c>
      <c r="L92" s="13"/>
      <c r="M92" s="13"/>
      <c r="N92" s="11" t="str">
        <f aca="false">IF(AND(L92&lt;&gt;"",M92&lt;&gt;""),"yes",IF(OR(L92&lt;&gt;"",M92&lt;&gt;""),"partial","no"))</f>
        <v>no</v>
      </c>
    </row>
    <row r="93" customFormat="false" ht="15" hidden="false" customHeight="true" outlineLevel="0" collapsed="false">
      <c r="A93" s="11" t="s">
        <v>9</v>
      </c>
      <c r="B93" s="11" t="s">
        <v>520</v>
      </c>
      <c r="C93" s="11" t="s">
        <v>521</v>
      </c>
      <c r="D93" s="11" t="s">
        <v>434</v>
      </c>
      <c r="E93" s="11" t="s">
        <v>435</v>
      </c>
      <c r="F93" s="11" t="s">
        <v>478</v>
      </c>
      <c r="G93" s="11" t="s">
        <v>437</v>
      </c>
      <c r="H93" s="11" t="s">
        <v>438</v>
      </c>
      <c r="I93" s="11"/>
      <c r="J93" s="12" t="s">
        <v>439</v>
      </c>
      <c r="K93" s="12" t="s">
        <v>439</v>
      </c>
      <c r="L93" s="13"/>
      <c r="M93" s="13"/>
      <c r="N93" s="11" t="str">
        <f aca="false">IF(AND(L93&lt;&gt;"",M93&lt;&gt;""),"yes",IF(OR(L93&lt;&gt;"",M93&lt;&gt;""),"partial","no"))</f>
        <v>no</v>
      </c>
    </row>
    <row r="94" customFormat="false" ht="15" hidden="false" customHeight="true" outlineLevel="0" collapsed="false">
      <c r="A94" s="11" t="s">
        <v>9</v>
      </c>
      <c r="B94" s="11" t="s">
        <v>522</v>
      </c>
      <c r="C94" s="11" t="s">
        <v>523</v>
      </c>
      <c r="D94" s="11" t="s">
        <v>434</v>
      </c>
      <c r="E94" s="11" t="s">
        <v>435</v>
      </c>
      <c r="F94" s="11" t="s">
        <v>478</v>
      </c>
      <c r="G94" s="11" t="s">
        <v>437</v>
      </c>
      <c r="H94" s="11" t="s">
        <v>438</v>
      </c>
      <c r="I94" s="11"/>
      <c r="J94" s="12" t="s">
        <v>439</v>
      </c>
      <c r="K94" s="12" t="s">
        <v>439</v>
      </c>
      <c r="L94" s="13"/>
      <c r="M94" s="13"/>
      <c r="N94" s="11" t="str">
        <f aca="false">IF(AND(L94&lt;&gt;"",M94&lt;&gt;""),"yes",IF(OR(L94&lt;&gt;"",M94&lt;&gt;""),"partial","no"))</f>
        <v>no</v>
      </c>
    </row>
    <row r="95" customFormat="false" ht="15" hidden="false" customHeight="true" outlineLevel="0" collapsed="false">
      <c r="A95" s="11" t="s">
        <v>9</v>
      </c>
      <c r="B95" s="11" t="s">
        <v>524</v>
      </c>
      <c r="C95" s="11" t="s">
        <v>525</v>
      </c>
      <c r="D95" s="11" t="s">
        <v>434</v>
      </c>
      <c r="E95" s="11" t="s">
        <v>435</v>
      </c>
      <c r="F95" s="11" t="s">
        <v>478</v>
      </c>
      <c r="G95" s="11" t="s">
        <v>437</v>
      </c>
      <c r="H95" s="11" t="s">
        <v>438</v>
      </c>
      <c r="I95" s="11"/>
      <c r="J95" s="12" t="s">
        <v>439</v>
      </c>
      <c r="K95" s="12" t="s">
        <v>439</v>
      </c>
      <c r="L95" s="13"/>
      <c r="M95" s="13"/>
      <c r="N95" s="11" t="str">
        <f aca="false">IF(AND(L95&lt;&gt;"",M95&lt;&gt;""),"yes",IF(OR(L95&lt;&gt;"",M95&lt;&gt;""),"partial","no"))</f>
        <v>no</v>
      </c>
    </row>
    <row r="96" customFormat="false" ht="15" hidden="false" customHeight="true" outlineLevel="0" collapsed="false">
      <c r="A96" s="11" t="s">
        <v>9</v>
      </c>
      <c r="B96" s="11" t="s">
        <v>526</v>
      </c>
      <c r="C96" s="11" t="s">
        <v>527</v>
      </c>
      <c r="D96" s="11" t="s">
        <v>434</v>
      </c>
      <c r="E96" s="11" t="s">
        <v>435</v>
      </c>
      <c r="F96" s="11" t="s">
        <v>478</v>
      </c>
      <c r="G96" s="11" t="s">
        <v>437</v>
      </c>
      <c r="H96" s="11" t="s">
        <v>438</v>
      </c>
      <c r="I96" s="11"/>
      <c r="J96" s="12" t="s">
        <v>439</v>
      </c>
      <c r="K96" s="12" t="s">
        <v>439</v>
      </c>
      <c r="L96" s="13"/>
      <c r="M96" s="13"/>
      <c r="N96" s="11" t="str">
        <f aca="false">IF(AND(L96&lt;&gt;"",M96&lt;&gt;""),"yes",IF(OR(L96&lt;&gt;"",M96&lt;&gt;""),"partial","no"))</f>
        <v>no</v>
      </c>
    </row>
    <row r="97" customFormat="false" ht="15" hidden="false" customHeight="true" outlineLevel="0" collapsed="false">
      <c r="A97" s="11" t="s">
        <v>9</v>
      </c>
      <c r="B97" s="11" t="s">
        <v>528</v>
      </c>
      <c r="C97" s="11" t="s">
        <v>529</v>
      </c>
      <c r="D97" s="11" t="s">
        <v>530</v>
      </c>
      <c r="E97" s="11" t="s">
        <v>435</v>
      </c>
      <c r="F97" s="11" t="s">
        <v>478</v>
      </c>
      <c r="G97" s="11" t="s">
        <v>437</v>
      </c>
      <c r="H97" s="11" t="s">
        <v>438</v>
      </c>
      <c r="I97" s="11"/>
      <c r="J97" s="12" t="s">
        <v>439</v>
      </c>
      <c r="K97" s="12" t="s">
        <v>439</v>
      </c>
      <c r="L97" s="13"/>
      <c r="M97" s="13"/>
      <c r="N97" s="11" t="str">
        <f aca="false">IF(AND(L97&lt;&gt;"",M97&lt;&gt;""),"yes",IF(OR(L97&lt;&gt;"",M97&lt;&gt;""),"partial","no"))</f>
        <v>no</v>
      </c>
    </row>
    <row r="98" customFormat="false" ht="15" hidden="false" customHeight="true" outlineLevel="0" collapsed="false">
      <c r="A98" s="11" t="s">
        <v>9</v>
      </c>
      <c r="B98" s="11" t="s">
        <v>531</v>
      </c>
      <c r="C98" s="11" t="s">
        <v>532</v>
      </c>
      <c r="D98" s="11" t="s">
        <v>530</v>
      </c>
      <c r="E98" s="11" t="s">
        <v>435</v>
      </c>
      <c r="F98" s="11" t="s">
        <v>478</v>
      </c>
      <c r="G98" s="11" t="s">
        <v>437</v>
      </c>
      <c r="H98" s="11" t="s">
        <v>438</v>
      </c>
      <c r="I98" s="11"/>
      <c r="J98" s="12" t="s">
        <v>439</v>
      </c>
      <c r="K98" s="12" t="s">
        <v>439</v>
      </c>
      <c r="L98" s="13"/>
      <c r="M98" s="13"/>
      <c r="N98" s="11" t="str">
        <f aca="false">IF(AND(L98&lt;&gt;"",M98&lt;&gt;""),"yes",IF(OR(L98&lt;&gt;"",M98&lt;&gt;""),"partial","no"))</f>
        <v>no</v>
      </c>
    </row>
    <row r="99" customFormat="false" ht="15" hidden="false" customHeight="true" outlineLevel="0" collapsed="false">
      <c r="A99" s="11" t="s">
        <v>9</v>
      </c>
      <c r="B99" s="11" t="s">
        <v>533</v>
      </c>
      <c r="C99" s="11" t="s">
        <v>534</v>
      </c>
      <c r="D99" s="11" t="s">
        <v>530</v>
      </c>
      <c r="E99" s="11" t="s">
        <v>435</v>
      </c>
      <c r="F99" s="11" t="s">
        <v>478</v>
      </c>
      <c r="G99" s="11" t="s">
        <v>437</v>
      </c>
      <c r="H99" s="11" t="s">
        <v>438</v>
      </c>
      <c r="I99" s="11"/>
      <c r="J99" s="12" t="s">
        <v>439</v>
      </c>
      <c r="K99" s="12" t="s">
        <v>439</v>
      </c>
      <c r="L99" s="13"/>
      <c r="M99" s="13"/>
      <c r="N99" s="11" t="str">
        <f aca="false">IF(AND(L99&lt;&gt;"",M99&lt;&gt;""),"yes",IF(OR(L99&lt;&gt;"",M99&lt;&gt;""),"partial","no"))</f>
        <v>no</v>
      </c>
    </row>
    <row r="100" customFormat="false" ht="15" hidden="false" customHeight="true" outlineLevel="0" collapsed="false">
      <c r="A100" s="11" t="s">
        <v>9</v>
      </c>
      <c r="B100" s="11" t="s">
        <v>535</v>
      </c>
      <c r="C100" s="11" t="s">
        <v>536</v>
      </c>
      <c r="D100" s="11" t="s">
        <v>530</v>
      </c>
      <c r="E100" s="11" t="s">
        <v>435</v>
      </c>
      <c r="F100" s="11" t="s">
        <v>478</v>
      </c>
      <c r="G100" s="11" t="s">
        <v>437</v>
      </c>
      <c r="H100" s="11" t="s">
        <v>438</v>
      </c>
      <c r="I100" s="11"/>
      <c r="J100" s="12" t="s">
        <v>439</v>
      </c>
      <c r="K100" s="12" t="s">
        <v>439</v>
      </c>
      <c r="L100" s="13"/>
      <c r="M100" s="13"/>
      <c r="N100" s="11" t="str">
        <f aca="false">IF(AND(L100&lt;&gt;"",M100&lt;&gt;""),"yes",IF(OR(L100&lt;&gt;"",M100&lt;&gt;""),"partial","no"))</f>
        <v>no</v>
      </c>
    </row>
    <row r="101" customFormat="false" ht="15" hidden="false" customHeight="true" outlineLevel="0" collapsed="false">
      <c r="A101" s="11" t="s">
        <v>9</v>
      </c>
      <c r="B101" s="11" t="s">
        <v>537</v>
      </c>
      <c r="C101" s="11" t="s">
        <v>538</v>
      </c>
      <c r="D101" s="11" t="s">
        <v>530</v>
      </c>
      <c r="E101" s="11" t="s">
        <v>435</v>
      </c>
      <c r="F101" s="11" t="s">
        <v>478</v>
      </c>
      <c r="G101" s="11" t="s">
        <v>437</v>
      </c>
      <c r="H101" s="11" t="s">
        <v>438</v>
      </c>
      <c r="I101" s="11"/>
      <c r="J101" s="12" t="s">
        <v>439</v>
      </c>
      <c r="K101" s="12" t="s">
        <v>439</v>
      </c>
      <c r="L101" s="13"/>
      <c r="M101" s="13"/>
      <c r="N101" s="11" t="str">
        <f aca="false">IF(AND(L101&lt;&gt;"",M101&lt;&gt;""),"yes",IF(OR(L101&lt;&gt;"",M101&lt;&gt;""),"partial","no"))</f>
        <v>no</v>
      </c>
    </row>
    <row r="102" customFormat="false" ht="15" hidden="false" customHeight="true" outlineLevel="0" collapsed="false">
      <c r="A102" s="11" t="s">
        <v>9</v>
      </c>
      <c r="B102" s="11" t="s">
        <v>539</v>
      </c>
      <c r="C102" s="11" t="s">
        <v>540</v>
      </c>
      <c r="D102" s="11" t="s">
        <v>530</v>
      </c>
      <c r="E102" s="11" t="s">
        <v>435</v>
      </c>
      <c r="F102" s="11" t="s">
        <v>478</v>
      </c>
      <c r="G102" s="11" t="s">
        <v>437</v>
      </c>
      <c r="H102" s="11" t="s">
        <v>438</v>
      </c>
      <c r="I102" s="11"/>
      <c r="J102" s="12" t="s">
        <v>439</v>
      </c>
      <c r="K102" s="12" t="s">
        <v>439</v>
      </c>
      <c r="L102" s="13"/>
      <c r="M102" s="13"/>
      <c r="N102" s="11" t="str">
        <f aca="false">IF(AND(L102&lt;&gt;"",M102&lt;&gt;""),"yes",IF(OR(L102&lt;&gt;"",M102&lt;&gt;""),"partial","no"))</f>
        <v>no</v>
      </c>
    </row>
    <row r="103" customFormat="false" ht="15" hidden="false" customHeight="true" outlineLevel="0" collapsed="false">
      <c r="A103" s="11" t="s">
        <v>9</v>
      </c>
      <c r="B103" s="11" t="s">
        <v>541</v>
      </c>
      <c r="C103" s="11" t="s">
        <v>542</v>
      </c>
      <c r="D103" s="11" t="s">
        <v>530</v>
      </c>
      <c r="E103" s="11" t="s">
        <v>435</v>
      </c>
      <c r="F103" s="11" t="s">
        <v>478</v>
      </c>
      <c r="G103" s="11" t="s">
        <v>437</v>
      </c>
      <c r="H103" s="11" t="s">
        <v>438</v>
      </c>
      <c r="I103" s="11"/>
      <c r="J103" s="12" t="s">
        <v>439</v>
      </c>
      <c r="K103" s="12" t="s">
        <v>439</v>
      </c>
      <c r="L103" s="13"/>
      <c r="M103" s="13"/>
      <c r="N103" s="11" t="str">
        <f aca="false">IF(AND(L103&lt;&gt;"",M103&lt;&gt;""),"yes",IF(OR(L103&lt;&gt;"",M103&lt;&gt;""),"partial","no"))</f>
        <v>no</v>
      </c>
    </row>
    <row r="104" customFormat="false" ht="15" hidden="false" customHeight="true" outlineLevel="0" collapsed="false">
      <c r="A104" s="11" t="s">
        <v>9</v>
      </c>
      <c r="B104" s="11" t="s">
        <v>535</v>
      </c>
      <c r="C104" s="11" t="s">
        <v>536</v>
      </c>
      <c r="D104" s="11" t="s">
        <v>530</v>
      </c>
      <c r="E104" s="11" t="s">
        <v>435</v>
      </c>
      <c r="F104" s="11" t="s">
        <v>478</v>
      </c>
      <c r="G104" s="11" t="s">
        <v>437</v>
      </c>
      <c r="H104" s="11" t="s">
        <v>438</v>
      </c>
      <c r="I104" s="11"/>
      <c r="J104" s="12" t="s">
        <v>439</v>
      </c>
      <c r="K104" s="12" t="s">
        <v>439</v>
      </c>
      <c r="L104" s="13"/>
      <c r="M104" s="13"/>
      <c r="N104" s="11" t="str">
        <f aca="false">IF(AND(L104&lt;&gt;"",M104&lt;&gt;""),"yes",IF(OR(L104&lt;&gt;"",M104&lt;&gt;""),"partial","no"))</f>
        <v>no</v>
      </c>
    </row>
    <row r="105" customFormat="false" ht="15" hidden="false" customHeight="true" outlineLevel="0" collapsed="false">
      <c r="A105" s="11" t="s">
        <v>9</v>
      </c>
      <c r="B105" s="11" t="s">
        <v>537</v>
      </c>
      <c r="C105" s="11" t="s">
        <v>538</v>
      </c>
      <c r="D105" s="11" t="s">
        <v>530</v>
      </c>
      <c r="E105" s="11" t="s">
        <v>435</v>
      </c>
      <c r="F105" s="11" t="s">
        <v>478</v>
      </c>
      <c r="G105" s="11" t="s">
        <v>437</v>
      </c>
      <c r="H105" s="11" t="s">
        <v>438</v>
      </c>
      <c r="I105" s="11"/>
      <c r="J105" s="12" t="s">
        <v>439</v>
      </c>
      <c r="K105" s="12" t="s">
        <v>439</v>
      </c>
      <c r="L105" s="13"/>
      <c r="M105" s="13"/>
      <c r="N105" s="11" t="str">
        <f aca="false">IF(AND(L105&lt;&gt;"",M105&lt;&gt;""),"yes",IF(OR(L105&lt;&gt;"",M105&lt;&gt;""),"partial","no"))</f>
        <v>no</v>
      </c>
    </row>
    <row r="106" customFormat="false" ht="15" hidden="false" customHeight="true" outlineLevel="0" collapsed="false">
      <c r="A106" s="11" t="s">
        <v>9</v>
      </c>
      <c r="B106" s="11" t="s">
        <v>539</v>
      </c>
      <c r="C106" s="11" t="s">
        <v>540</v>
      </c>
      <c r="D106" s="11" t="s">
        <v>530</v>
      </c>
      <c r="E106" s="11" t="s">
        <v>435</v>
      </c>
      <c r="F106" s="11" t="s">
        <v>478</v>
      </c>
      <c r="G106" s="11" t="s">
        <v>437</v>
      </c>
      <c r="H106" s="11" t="s">
        <v>438</v>
      </c>
      <c r="I106" s="11"/>
      <c r="J106" s="12" t="s">
        <v>439</v>
      </c>
      <c r="K106" s="12" t="s">
        <v>439</v>
      </c>
      <c r="L106" s="13"/>
      <c r="M106" s="13"/>
      <c r="N106" s="11" t="str">
        <f aca="false">IF(AND(L106&lt;&gt;"",M106&lt;&gt;""),"yes",IF(OR(L106&lt;&gt;"",M106&lt;&gt;""),"partial","no"))</f>
        <v>no</v>
      </c>
    </row>
    <row r="107" customFormat="false" ht="15" hidden="false" customHeight="true" outlineLevel="0" collapsed="false">
      <c r="A107" s="11" t="s">
        <v>9</v>
      </c>
      <c r="B107" s="11" t="s">
        <v>541</v>
      </c>
      <c r="C107" s="11" t="s">
        <v>542</v>
      </c>
      <c r="D107" s="11" t="s">
        <v>530</v>
      </c>
      <c r="E107" s="11" t="s">
        <v>435</v>
      </c>
      <c r="F107" s="11" t="s">
        <v>478</v>
      </c>
      <c r="G107" s="11" t="s">
        <v>437</v>
      </c>
      <c r="H107" s="11" t="s">
        <v>438</v>
      </c>
      <c r="I107" s="11"/>
      <c r="J107" s="12" t="s">
        <v>439</v>
      </c>
      <c r="K107" s="12" t="s">
        <v>439</v>
      </c>
      <c r="L107" s="13"/>
      <c r="M107" s="13"/>
      <c r="N107" s="11" t="str">
        <f aca="false">IF(AND(L107&lt;&gt;"",M107&lt;&gt;""),"yes",IF(OR(L107&lt;&gt;"",M107&lt;&gt;""),"partial","no"))</f>
        <v>no</v>
      </c>
    </row>
    <row r="108" customFormat="false" ht="15" hidden="false" customHeight="true" outlineLevel="0" collapsed="false">
      <c r="A108" s="11" t="s">
        <v>9</v>
      </c>
      <c r="B108" s="11" t="s">
        <v>543</v>
      </c>
      <c r="C108" s="11" t="s">
        <v>544</v>
      </c>
      <c r="D108" s="11" t="s">
        <v>441</v>
      </c>
      <c r="E108" s="11" t="s">
        <v>435</v>
      </c>
      <c r="F108" s="11" t="s">
        <v>478</v>
      </c>
      <c r="G108" s="11" t="s">
        <v>437</v>
      </c>
      <c r="H108" s="11" t="s">
        <v>438</v>
      </c>
      <c r="I108" s="11"/>
      <c r="J108" s="12" t="s">
        <v>439</v>
      </c>
      <c r="K108" s="12" t="s">
        <v>439</v>
      </c>
      <c r="L108" s="13"/>
      <c r="M108" s="13"/>
      <c r="N108" s="11" t="str">
        <f aca="false">IF(AND(L108&lt;&gt;"",M108&lt;&gt;""),"yes",IF(OR(L108&lt;&gt;"",M108&lt;&gt;""),"partial","no"))</f>
        <v>no</v>
      </c>
    </row>
    <row r="109" customFormat="false" ht="15" hidden="false" customHeight="true" outlineLevel="0" collapsed="false">
      <c r="A109" s="11" t="s">
        <v>9</v>
      </c>
      <c r="B109" s="11" t="s">
        <v>545</v>
      </c>
      <c r="C109" s="11" t="s">
        <v>546</v>
      </c>
      <c r="D109" s="11" t="s">
        <v>441</v>
      </c>
      <c r="E109" s="11" t="s">
        <v>435</v>
      </c>
      <c r="F109" s="11" t="s">
        <v>478</v>
      </c>
      <c r="G109" s="11" t="s">
        <v>437</v>
      </c>
      <c r="H109" s="11" t="s">
        <v>438</v>
      </c>
      <c r="I109" s="11"/>
      <c r="J109" s="12" t="s">
        <v>439</v>
      </c>
      <c r="K109" s="12" t="s">
        <v>439</v>
      </c>
      <c r="L109" s="13"/>
      <c r="M109" s="13"/>
      <c r="N109" s="11" t="str">
        <f aca="false">IF(AND(L109&lt;&gt;"",M109&lt;&gt;""),"yes",IF(OR(L109&lt;&gt;"",M109&lt;&gt;""),"partial","no"))</f>
        <v>no</v>
      </c>
    </row>
    <row r="110" customFormat="false" ht="15" hidden="false" customHeight="true" outlineLevel="0" collapsed="false">
      <c r="A110" s="11" t="s">
        <v>9</v>
      </c>
      <c r="B110" s="11" t="s">
        <v>547</v>
      </c>
      <c r="C110" s="11" t="s">
        <v>548</v>
      </c>
      <c r="D110" s="11" t="s">
        <v>441</v>
      </c>
      <c r="E110" s="11" t="s">
        <v>435</v>
      </c>
      <c r="F110" s="11" t="s">
        <v>478</v>
      </c>
      <c r="G110" s="11" t="s">
        <v>437</v>
      </c>
      <c r="H110" s="11" t="s">
        <v>438</v>
      </c>
      <c r="I110" s="11"/>
      <c r="J110" s="12" t="s">
        <v>439</v>
      </c>
      <c r="K110" s="12" t="s">
        <v>439</v>
      </c>
      <c r="L110" s="13"/>
      <c r="M110" s="13"/>
      <c r="N110" s="11" t="str">
        <f aca="false">IF(AND(L110&lt;&gt;"",M110&lt;&gt;""),"yes",IF(OR(L110&lt;&gt;"",M110&lt;&gt;""),"partial","no"))</f>
        <v>no</v>
      </c>
    </row>
    <row r="111" customFormat="false" ht="15" hidden="false" customHeight="true" outlineLevel="0" collapsed="false">
      <c r="A111" s="11" t="s">
        <v>9</v>
      </c>
      <c r="B111" s="11" t="s">
        <v>549</v>
      </c>
      <c r="C111" s="11" t="s">
        <v>550</v>
      </c>
      <c r="D111" s="11" t="s">
        <v>441</v>
      </c>
      <c r="E111" s="11" t="s">
        <v>435</v>
      </c>
      <c r="F111" s="11" t="s">
        <v>478</v>
      </c>
      <c r="G111" s="11" t="s">
        <v>437</v>
      </c>
      <c r="H111" s="11" t="s">
        <v>438</v>
      </c>
      <c r="I111" s="11"/>
      <c r="J111" s="12" t="s">
        <v>439</v>
      </c>
      <c r="K111" s="12" t="s">
        <v>439</v>
      </c>
      <c r="L111" s="13"/>
      <c r="M111" s="13"/>
      <c r="N111" s="11" t="str">
        <f aca="false">IF(AND(L111&lt;&gt;"",M111&lt;&gt;""),"yes",IF(OR(L111&lt;&gt;"",M111&lt;&gt;""),"partial","no"))</f>
        <v>no</v>
      </c>
    </row>
    <row r="112" customFormat="false" ht="15" hidden="false" customHeight="true" outlineLevel="0" collapsed="false">
      <c r="A112" s="11" t="s">
        <v>9</v>
      </c>
      <c r="B112" s="11" t="s">
        <v>549</v>
      </c>
      <c r="C112" s="11" t="s">
        <v>550</v>
      </c>
      <c r="D112" s="11" t="s">
        <v>441</v>
      </c>
      <c r="E112" s="11" t="s">
        <v>435</v>
      </c>
      <c r="F112" s="11" t="s">
        <v>478</v>
      </c>
      <c r="G112" s="11" t="s">
        <v>437</v>
      </c>
      <c r="H112" s="11" t="s">
        <v>438</v>
      </c>
      <c r="I112" s="11"/>
      <c r="J112" s="12" t="s">
        <v>439</v>
      </c>
      <c r="K112" s="12" t="s">
        <v>439</v>
      </c>
      <c r="L112" s="13"/>
      <c r="M112" s="13"/>
      <c r="N112" s="11" t="str">
        <f aca="false">IF(AND(L112&lt;&gt;"",M112&lt;&gt;""),"yes",IF(OR(L112&lt;&gt;"",M112&lt;&gt;""),"partial","no"))</f>
        <v>no</v>
      </c>
    </row>
    <row r="113" customFormat="false" ht="15" hidden="false" customHeight="true" outlineLevel="0" collapsed="false">
      <c r="A113" s="11" t="s">
        <v>9</v>
      </c>
      <c r="B113" s="11" t="s">
        <v>551</v>
      </c>
      <c r="C113" s="11" t="s">
        <v>552</v>
      </c>
      <c r="D113" s="11" t="s">
        <v>553</v>
      </c>
      <c r="E113" s="11" t="s">
        <v>435</v>
      </c>
      <c r="F113" s="11" t="s">
        <v>478</v>
      </c>
      <c r="G113" s="11" t="s">
        <v>437</v>
      </c>
      <c r="H113" s="11" t="s">
        <v>438</v>
      </c>
      <c r="I113" s="11"/>
      <c r="J113" s="12" t="s">
        <v>439</v>
      </c>
      <c r="K113" s="12" t="s">
        <v>439</v>
      </c>
      <c r="L113" s="13"/>
      <c r="M113" s="13"/>
      <c r="N113" s="11" t="str">
        <f aca="false">IF(AND(L113&lt;&gt;"",M113&lt;&gt;""),"yes",IF(OR(L113&lt;&gt;"",M113&lt;&gt;""),"partial","no"))</f>
        <v>no</v>
      </c>
    </row>
    <row r="114" customFormat="false" ht="15" hidden="false" customHeight="true" outlineLevel="0" collapsed="false">
      <c r="A114" s="11" t="s">
        <v>9</v>
      </c>
      <c r="B114" s="11" t="s">
        <v>554</v>
      </c>
      <c r="C114" s="11" t="s">
        <v>555</v>
      </c>
      <c r="D114" s="11" t="s">
        <v>556</v>
      </c>
      <c r="E114" s="11" t="s">
        <v>435</v>
      </c>
      <c r="F114" s="11" t="s">
        <v>478</v>
      </c>
      <c r="G114" s="11" t="s">
        <v>437</v>
      </c>
      <c r="H114" s="11" t="s">
        <v>438</v>
      </c>
      <c r="I114" s="11"/>
      <c r="J114" s="12" t="s">
        <v>439</v>
      </c>
      <c r="K114" s="12" t="s">
        <v>439</v>
      </c>
      <c r="L114" s="13"/>
      <c r="M114" s="13"/>
      <c r="N114" s="11" t="str">
        <f aca="false">IF(AND(L114&lt;&gt;"",M114&lt;&gt;""),"yes",IF(OR(L114&lt;&gt;"",M114&lt;&gt;""),"partial","no"))</f>
        <v>no</v>
      </c>
    </row>
    <row r="115" customFormat="false" ht="15" hidden="false" customHeight="true" outlineLevel="0" collapsed="false">
      <c r="A115" s="11" t="s">
        <v>9</v>
      </c>
      <c r="B115" s="11" t="s">
        <v>557</v>
      </c>
      <c r="C115" s="11" t="s">
        <v>558</v>
      </c>
      <c r="D115" s="11" t="s">
        <v>556</v>
      </c>
      <c r="E115" s="11" t="s">
        <v>435</v>
      </c>
      <c r="F115" s="11" t="s">
        <v>478</v>
      </c>
      <c r="G115" s="11" t="s">
        <v>437</v>
      </c>
      <c r="H115" s="11" t="s">
        <v>438</v>
      </c>
      <c r="I115" s="11"/>
      <c r="J115" s="12" t="s">
        <v>439</v>
      </c>
      <c r="K115" s="12" t="s">
        <v>439</v>
      </c>
      <c r="L115" s="13"/>
      <c r="M115" s="13"/>
      <c r="N115" s="11" t="str">
        <f aca="false">IF(AND(L115&lt;&gt;"",M115&lt;&gt;""),"yes",IF(OR(L115&lt;&gt;"",M115&lt;&gt;""),"partial","no"))</f>
        <v>no</v>
      </c>
    </row>
    <row r="116" customFormat="false" ht="15" hidden="false" customHeight="true" outlineLevel="0" collapsed="false">
      <c r="A116" s="11" t="s">
        <v>9</v>
      </c>
      <c r="B116" s="11" t="s">
        <v>559</v>
      </c>
      <c r="C116" s="11" t="s">
        <v>560</v>
      </c>
      <c r="D116" s="11" t="s">
        <v>556</v>
      </c>
      <c r="E116" s="11" t="s">
        <v>435</v>
      </c>
      <c r="F116" s="11" t="s">
        <v>478</v>
      </c>
      <c r="G116" s="11" t="s">
        <v>437</v>
      </c>
      <c r="H116" s="11" t="s">
        <v>438</v>
      </c>
      <c r="I116" s="11"/>
      <c r="J116" s="12" t="s">
        <v>439</v>
      </c>
      <c r="K116" s="12" t="s">
        <v>439</v>
      </c>
      <c r="L116" s="13"/>
      <c r="M116" s="13"/>
      <c r="N116" s="11" t="str">
        <f aca="false">IF(AND(L116&lt;&gt;"",M116&lt;&gt;""),"yes",IF(OR(L116&lt;&gt;"",M116&lt;&gt;""),"partial","no"))</f>
        <v>no</v>
      </c>
    </row>
    <row r="117" customFormat="false" ht="15" hidden="false" customHeight="true" outlineLevel="0" collapsed="false">
      <c r="A117" s="11" t="s">
        <v>9</v>
      </c>
      <c r="B117" s="11" t="s">
        <v>561</v>
      </c>
      <c r="C117" s="11" t="s">
        <v>562</v>
      </c>
      <c r="D117" s="11" t="s">
        <v>563</v>
      </c>
      <c r="E117" s="11" t="s">
        <v>435</v>
      </c>
      <c r="F117" s="11" t="s">
        <v>478</v>
      </c>
      <c r="G117" s="11" t="s">
        <v>437</v>
      </c>
      <c r="H117" s="11" t="s">
        <v>438</v>
      </c>
      <c r="I117" s="11"/>
      <c r="J117" s="12" t="s">
        <v>439</v>
      </c>
      <c r="K117" s="12" t="s">
        <v>439</v>
      </c>
      <c r="L117" s="13"/>
      <c r="M117" s="13"/>
      <c r="N117" s="11" t="str">
        <f aca="false">IF(AND(L117&lt;&gt;"",M117&lt;&gt;""),"yes",IF(OR(L117&lt;&gt;"",M117&lt;&gt;""),"partial","no"))</f>
        <v>no</v>
      </c>
    </row>
    <row r="118" customFormat="false" ht="15" hidden="false" customHeight="true" outlineLevel="0" collapsed="false">
      <c r="A118" s="11" t="s">
        <v>9</v>
      </c>
      <c r="B118" s="11" t="s">
        <v>564</v>
      </c>
      <c r="C118" s="11" t="s">
        <v>565</v>
      </c>
      <c r="D118" s="11" t="s">
        <v>566</v>
      </c>
      <c r="E118" s="11" t="s">
        <v>435</v>
      </c>
      <c r="F118" s="11" t="s">
        <v>478</v>
      </c>
      <c r="G118" s="11" t="s">
        <v>437</v>
      </c>
      <c r="H118" s="11" t="s">
        <v>438</v>
      </c>
      <c r="I118" s="11"/>
      <c r="J118" s="12" t="s">
        <v>439</v>
      </c>
      <c r="K118" s="12" t="s">
        <v>439</v>
      </c>
      <c r="L118" s="13"/>
      <c r="M118" s="13"/>
      <c r="N118" s="11" t="str">
        <f aca="false">IF(AND(L118&lt;&gt;"",M118&lt;&gt;""),"yes",IF(OR(L118&lt;&gt;"",M118&lt;&gt;""),"partial","no"))</f>
        <v>no</v>
      </c>
    </row>
    <row r="119" customFormat="false" ht="15" hidden="false" customHeight="true" outlineLevel="0" collapsed="false">
      <c r="A119" s="11" t="s">
        <v>9</v>
      </c>
      <c r="B119" s="11" t="s">
        <v>567</v>
      </c>
      <c r="C119" s="11" t="s">
        <v>568</v>
      </c>
      <c r="D119" s="11" t="s">
        <v>566</v>
      </c>
      <c r="E119" s="11" t="s">
        <v>435</v>
      </c>
      <c r="F119" s="11" t="s">
        <v>478</v>
      </c>
      <c r="G119" s="11" t="s">
        <v>437</v>
      </c>
      <c r="H119" s="11" t="s">
        <v>438</v>
      </c>
      <c r="I119" s="11"/>
      <c r="J119" s="12" t="s">
        <v>439</v>
      </c>
      <c r="K119" s="12" t="s">
        <v>439</v>
      </c>
      <c r="L119" s="13"/>
      <c r="M119" s="13"/>
      <c r="N119" s="11" t="str">
        <f aca="false">IF(AND(L119&lt;&gt;"",M119&lt;&gt;""),"yes",IF(OR(L119&lt;&gt;"",M119&lt;&gt;""),"partial","no"))</f>
        <v>no</v>
      </c>
    </row>
    <row r="120" customFormat="false" ht="15" hidden="false" customHeight="true" outlineLevel="0" collapsed="false">
      <c r="A120" s="11" t="s">
        <v>9</v>
      </c>
      <c r="B120" s="11" t="s">
        <v>569</v>
      </c>
      <c r="C120" s="11" t="s">
        <v>570</v>
      </c>
      <c r="D120" s="11" t="s">
        <v>566</v>
      </c>
      <c r="E120" s="11" t="s">
        <v>435</v>
      </c>
      <c r="F120" s="11" t="s">
        <v>478</v>
      </c>
      <c r="G120" s="11" t="s">
        <v>437</v>
      </c>
      <c r="H120" s="11" t="s">
        <v>438</v>
      </c>
      <c r="I120" s="11"/>
      <c r="J120" s="12" t="s">
        <v>439</v>
      </c>
      <c r="K120" s="12" t="s">
        <v>439</v>
      </c>
      <c r="L120" s="13"/>
      <c r="M120" s="13"/>
      <c r="N120" s="11" t="str">
        <f aca="false">IF(AND(L120&lt;&gt;"",M120&lt;&gt;""),"yes",IF(OR(L120&lt;&gt;"",M120&lt;&gt;""),"partial","no"))</f>
        <v>no</v>
      </c>
    </row>
    <row r="121" customFormat="false" ht="15" hidden="false" customHeight="true" outlineLevel="0" collapsed="false">
      <c r="A121" s="11" t="s">
        <v>9</v>
      </c>
      <c r="B121" s="11" t="s">
        <v>571</v>
      </c>
      <c r="C121" s="11" t="s">
        <v>572</v>
      </c>
      <c r="D121" s="11" t="s">
        <v>566</v>
      </c>
      <c r="E121" s="11" t="s">
        <v>435</v>
      </c>
      <c r="F121" s="11" t="s">
        <v>478</v>
      </c>
      <c r="G121" s="11" t="s">
        <v>437</v>
      </c>
      <c r="H121" s="11" t="s">
        <v>438</v>
      </c>
      <c r="I121" s="11"/>
      <c r="J121" s="12" t="s">
        <v>439</v>
      </c>
      <c r="K121" s="12" t="s">
        <v>439</v>
      </c>
      <c r="L121" s="13"/>
      <c r="M121" s="13"/>
      <c r="N121" s="11" t="str">
        <f aca="false">IF(AND(L121&lt;&gt;"",M121&lt;&gt;""),"yes",IF(OR(L121&lt;&gt;"",M121&lt;&gt;""),"partial","no"))</f>
        <v>no</v>
      </c>
    </row>
    <row r="122" customFormat="false" ht="15" hidden="false" customHeight="true" outlineLevel="0" collapsed="false">
      <c r="A122" s="11" t="s">
        <v>9</v>
      </c>
      <c r="B122" s="11" t="s">
        <v>573</v>
      </c>
      <c r="C122" s="11" t="s">
        <v>574</v>
      </c>
      <c r="D122" s="11" t="s">
        <v>575</v>
      </c>
      <c r="E122" s="11" t="s">
        <v>435</v>
      </c>
      <c r="F122" s="11" t="s">
        <v>478</v>
      </c>
      <c r="G122" s="11" t="s">
        <v>437</v>
      </c>
      <c r="H122" s="11" t="s">
        <v>438</v>
      </c>
      <c r="I122" s="11"/>
      <c r="J122" s="12" t="s">
        <v>439</v>
      </c>
      <c r="K122" s="12" t="s">
        <v>439</v>
      </c>
      <c r="L122" s="13"/>
      <c r="M122" s="13"/>
      <c r="N122" s="11" t="str">
        <f aca="false">IF(AND(L122&lt;&gt;"",M122&lt;&gt;""),"yes",IF(OR(L122&lt;&gt;"",M122&lt;&gt;""),"partial","no"))</f>
        <v>no</v>
      </c>
    </row>
    <row r="123" customFormat="false" ht="15" hidden="false" customHeight="true" outlineLevel="0" collapsed="false">
      <c r="A123" s="11" t="s">
        <v>9</v>
      </c>
      <c r="B123" s="11" t="s">
        <v>576</v>
      </c>
      <c r="C123" s="11" t="s">
        <v>577</v>
      </c>
      <c r="D123" s="11" t="s">
        <v>448</v>
      </c>
      <c r="E123" s="11" t="s">
        <v>435</v>
      </c>
      <c r="F123" s="11" t="s">
        <v>478</v>
      </c>
      <c r="G123" s="11" t="s">
        <v>437</v>
      </c>
      <c r="H123" s="11" t="s">
        <v>438</v>
      </c>
      <c r="I123" s="11"/>
      <c r="J123" s="12" t="s">
        <v>439</v>
      </c>
      <c r="K123" s="12" t="s">
        <v>439</v>
      </c>
      <c r="L123" s="13"/>
      <c r="M123" s="13"/>
      <c r="N123" s="11" t="str">
        <f aca="false">IF(AND(L123&lt;&gt;"",M123&lt;&gt;""),"yes",IF(OR(L123&lt;&gt;"",M123&lt;&gt;""),"partial","no"))</f>
        <v>no</v>
      </c>
    </row>
    <row r="124" customFormat="false" ht="15" hidden="false" customHeight="true" outlineLevel="0" collapsed="false">
      <c r="A124" s="11" t="s">
        <v>9</v>
      </c>
      <c r="B124" s="11" t="s">
        <v>578</v>
      </c>
      <c r="C124" s="11" t="s">
        <v>579</v>
      </c>
      <c r="D124" s="11" t="s">
        <v>448</v>
      </c>
      <c r="E124" s="11" t="s">
        <v>435</v>
      </c>
      <c r="F124" s="11" t="s">
        <v>478</v>
      </c>
      <c r="G124" s="11" t="s">
        <v>437</v>
      </c>
      <c r="H124" s="11" t="s">
        <v>438</v>
      </c>
      <c r="I124" s="11"/>
      <c r="J124" s="12" t="s">
        <v>439</v>
      </c>
      <c r="K124" s="12" t="s">
        <v>439</v>
      </c>
      <c r="L124" s="13"/>
      <c r="M124" s="13"/>
      <c r="N124" s="11" t="str">
        <f aca="false">IF(AND(L124&lt;&gt;"",M124&lt;&gt;""),"yes",IF(OR(L124&lt;&gt;"",M124&lt;&gt;""),"partial","no"))</f>
        <v>no</v>
      </c>
    </row>
    <row r="125" customFormat="false" ht="15" hidden="false" customHeight="true" outlineLevel="0" collapsed="false">
      <c r="A125" s="11" t="s">
        <v>9</v>
      </c>
      <c r="B125" s="11" t="s">
        <v>580</v>
      </c>
      <c r="C125" s="11" t="s">
        <v>581</v>
      </c>
      <c r="D125" s="11" t="s">
        <v>448</v>
      </c>
      <c r="E125" s="11" t="s">
        <v>435</v>
      </c>
      <c r="F125" s="11" t="s">
        <v>478</v>
      </c>
      <c r="G125" s="11" t="s">
        <v>437</v>
      </c>
      <c r="H125" s="11" t="s">
        <v>438</v>
      </c>
      <c r="I125" s="11"/>
      <c r="J125" s="12" t="s">
        <v>439</v>
      </c>
      <c r="K125" s="12" t="s">
        <v>439</v>
      </c>
      <c r="L125" s="13"/>
      <c r="M125" s="13"/>
      <c r="N125" s="11" t="str">
        <f aca="false">IF(AND(L125&lt;&gt;"",M125&lt;&gt;""),"yes",IF(OR(L125&lt;&gt;"",M125&lt;&gt;""),"partial","no"))</f>
        <v>no</v>
      </c>
    </row>
    <row r="126" customFormat="false" ht="15" hidden="false" customHeight="true" outlineLevel="0" collapsed="false">
      <c r="A126" s="11" t="s">
        <v>9</v>
      </c>
      <c r="B126" s="11" t="s">
        <v>582</v>
      </c>
      <c r="C126" s="11" t="s">
        <v>583</v>
      </c>
      <c r="D126" s="11" t="s">
        <v>584</v>
      </c>
      <c r="E126" s="11" t="s">
        <v>435</v>
      </c>
      <c r="F126" s="11" t="s">
        <v>478</v>
      </c>
      <c r="G126" s="11" t="s">
        <v>437</v>
      </c>
      <c r="H126" s="11" t="s">
        <v>438</v>
      </c>
      <c r="I126" s="11"/>
      <c r="J126" s="12" t="s">
        <v>439</v>
      </c>
      <c r="K126" s="12" t="s">
        <v>439</v>
      </c>
      <c r="L126" s="13"/>
      <c r="M126" s="13"/>
      <c r="N126" s="11" t="str">
        <f aca="false">IF(AND(L126&lt;&gt;"",M126&lt;&gt;""),"yes",IF(OR(L126&lt;&gt;"",M126&lt;&gt;""),"partial","no"))</f>
        <v>no</v>
      </c>
    </row>
    <row r="127" customFormat="false" ht="15" hidden="false" customHeight="true" outlineLevel="0" collapsed="false">
      <c r="A127" s="11" t="s">
        <v>9</v>
      </c>
      <c r="B127" s="11" t="s">
        <v>585</v>
      </c>
      <c r="C127" s="11" t="s">
        <v>586</v>
      </c>
      <c r="D127" s="11" t="s">
        <v>587</v>
      </c>
      <c r="E127" s="11" t="s">
        <v>435</v>
      </c>
      <c r="F127" s="11" t="s">
        <v>478</v>
      </c>
      <c r="G127" s="11" t="s">
        <v>437</v>
      </c>
      <c r="H127" s="11" t="s">
        <v>438</v>
      </c>
      <c r="I127" s="11"/>
      <c r="J127" s="12" t="s">
        <v>439</v>
      </c>
      <c r="K127" s="12" t="s">
        <v>439</v>
      </c>
      <c r="L127" s="13"/>
      <c r="M127" s="13"/>
      <c r="N127" s="11" t="str">
        <f aca="false">IF(AND(L127&lt;&gt;"",M127&lt;&gt;""),"yes",IF(OR(L127&lt;&gt;"",M127&lt;&gt;""),"partial","no"))</f>
        <v>no</v>
      </c>
    </row>
    <row r="128" customFormat="false" ht="15" hidden="false" customHeight="true" outlineLevel="0" collapsed="false">
      <c r="A128" s="11" t="s">
        <v>9</v>
      </c>
      <c r="B128" s="11" t="s">
        <v>588</v>
      </c>
      <c r="C128" s="11" t="s">
        <v>589</v>
      </c>
      <c r="D128" s="11" t="s">
        <v>587</v>
      </c>
      <c r="E128" s="11" t="s">
        <v>435</v>
      </c>
      <c r="F128" s="11" t="s">
        <v>478</v>
      </c>
      <c r="G128" s="11" t="s">
        <v>437</v>
      </c>
      <c r="H128" s="11" t="s">
        <v>438</v>
      </c>
      <c r="I128" s="11"/>
      <c r="J128" s="12" t="s">
        <v>439</v>
      </c>
      <c r="K128" s="12" t="s">
        <v>439</v>
      </c>
      <c r="L128" s="13"/>
      <c r="M128" s="13"/>
      <c r="N128" s="11" t="str">
        <f aca="false">IF(AND(L128&lt;&gt;"",M128&lt;&gt;""),"yes",IF(OR(L128&lt;&gt;"",M128&lt;&gt;""),"partial","no"))</f>
        <v>no</v>
      </c>
    </row>
    <row r="129" customFormat="false" ht="15" hidden="false" customHeight="true" outlineLevel="0" collapsed="false">
      <c r="A129" s="11" t="s">
        <v>9</v>
      </c>
      <c r="B129" s="11" t="s">
        <v>590</v>
      </c>
      <c r="C129" s="11" t="s">
        <v>591</v>
      </c>
      <c r="D129" s="11" t="s">
        <v>592</v>
      </c>
      <c r="E129" s="11" t="s">
        <v>435</v>
      </c>
      <c r="F129" s="11" t="s">
        <v>478</v>
      </c>
      <c r="G129" s="11" t="s">
        <v>437</v>
      </c>
      <c r="H129" s="11" t="s">
        <v>438</v>
      </c>
      <c r="I129" s="11"/>
      <c r="J129" s="12" t="s">
        <v>439</v>
      </c>
      <c r="K129" s="12" t="s">
        <v>439</v>
      </c>
      <c r="L129" s="13"/>
      <c r="M129" s="13"/>
      <c r="N129" s="11" t="str">
        <f aca="false">IF(AND(L129&lt;&gt;"",M129&lt;&gt;""),"yes",IF(OR(L129&lt;&gt;"",M129&lt;&gt;""),"partial","no"))</f>
        <v>no</v>
      </c>
    </row>
    <row r="130" customFormat="false" ht="15" hidden="false" customHeight="true" outlineLevel="0" collapsed="false">
      <c r="A130" s="11" t="s">
        <v>9</v>
      </c>
      <c r="B130" s="11" t="s">
        <v>593</v>
      </c>
      <c r="C130" s="11" t="s">
        <v>594</v>
      </c>
      <c r="D130" s="11" t="s">
        <v>595</v>
      </c>
      <c r="E130" s="11" t="s">
        <v>435</v>
      </c>
      <c r="F130" s="11" t="s">
        <v>478</v>
      </c>
      <c r="G130" s="11" t="s">
        <v>437</v>
      </c>
      <c r="H130" s="11" t="s">
        <v>438</v>
      </c>
      <c r="I130" s="11"/>
      <c r="J130" s="12" t="s">
        <v>439</v>
      </c>
      <c r="K130" s="12" t="s">
        <v>439</v>
      </c>
      <c r="L130" s="13"/>
      <c r="M130" s="13"/>
      <c r="N130" s="11" t="str">
        <f aca="false">IF(AND(L130&lt;&gt;"",M130&lt;&gt;""),"yes",IF(OR(L130&lt;&gt;"",M130&lt;&gt;""),"partial","no"))</f>
        <v>no</v>
      </c>
    </row>
    <row r="131" customFormat="false" ht="15" hidden="false" customHeight="true" outlineLevel="0" collapsed="false">
      <c r="A131" s="11" t="s">
        <v>9</v>
      </c>
      <c r="B131" s="11" t="s">
        <v>596</v>
      </c>
      <c r="C131" s="11" t="s">
        <v>597</v>
      </c>
      <c r="D131" s="11" t="s">
        <v>451</v>
      </c>
      <c r="E131" s="11" t="s">
        <v>435</v>
      </c>
      <c r="F131" s="11" t="s">
        <v>478</v>
      </c>
      <c r="G131" s="11" t="s">
        <v>437</v>
      </c>
      <c r="H131" s="11" t="s">
        <v>438</v>
      </c>
      <c r="I131" s="11"/>
      <c r="J131" s="12" t="s">
        <v>439</v>
      </c>
      <c r="K131" s="12" t="s">
        <v>439</v>
      </c>
      <c r="L131" s="13"/>
      <c r="M131" s="13"/>
      <c r="N131" s="11" t="str">
        <f aca="false">IF(AND(L131&lt;&gt;"",M131&lt;&gt;""),"yes",IF(OR(L131&lt;&gt;"",M131&lt;&gt;""),"partial","no"))</f>
        <v>no</v>
      </c>
    </row>
    <row r="132" customFormat="false" ht="15" hidden="false" customHeight="true" outlineLevel="0" collapsed="false">
      <c r="A132" s="11" t="s">
        <v>9</v>
      </c>
      <c r="B132" s="11" t="s">
        <v>598</v>
      </c>
      <c r="C132" s="11" t="s">
        <v>599</v>
      </c>
      <c r="D132" s="11" t="s">
        <v>451</v>
      </c>
      <c r="E132" s="11" t="s">
        <v>435</v>
      </c>
      <c r="F132" s="11" t="s">
        <v>478</v>
      </c>
      <c r="G132" s="11" t="s">
        <v>437</v>
      </c>
      <c r="H132" s="11" t="s">
        <v>438</v>
      </c>
      <c r="I132" s="11"/>
      <c r="J132" s="12" t="s">
        <v>439</v>
      </c>
      <c r="K132" s="12" t="s">
        <v>439</v>
      </c>
      <c r="L132" s="13"/>
      <c r="M132" s="13"/>
      <c r="N132" s="11" t="str">
        <f aca="false">IF(AND(L132&lt;&gt;"",M132&lt;&gt;""),"yes",IF(OR(L132&lt;&gt;"",M132&lt;&gt;""),"partial","no"))</f>
        <v>no</v>
      </c>
    </row>
    <row r="133" customFormat="false" ht="15" hidden="false" customHeight="true" outlineLevel="0" collapsed="false">
      <c r="A133" s="11" t="s">
        <v>9</v>
      </c>
      <c r="B133" s="11" t="s">
        <v>600</v>
      </c>
      <c r="C133" s="11" t="s">
        <v>601</v>
      </c>
      <c r="D133" s="11" t="s">
        <v>451</v>
      </c>
      <c r="E133" s="11" t="s">
        <v>435</v>
      </c>
      <c r="F133" s="11" t="s">
        <v>478</v>
      </c>
      <c r="G133" s="11" t="s">
        <v>437</v>
      </c>
      <c r="H133" s="11" t="s">
        <v>438</v>
      </c>
      <c r="I133" s="11"/>
      <c r="J133" s="12" t="s">
        <v>439</v>
      </c>
      <c r="K133" s="12" t="s">
        <v>439</v>
      </c>
      <c r="L133" s="13"/>
      <c r="M133" s="13"/>
      <c r="N133" s="11" t="str">
        <f aca="false">IF(AND(L133&lt;&gt;"",M133&lt;&gt;""),"yes",IF(OR(L133&lt;&gt;"",M133&lt;&gt;""),"partial","no"))</f>
        <v>no</v>
      </c>
    </row>
    <row r="134" customFormat="false" ht="15" hidden="false" customHeight="true" outlineLevel="0" collapsed="false">
      <c r="A134" s="11" t="s">
        <v>9</v>
      </c>
      <c r="B134" s="11" t="s">
        <v>602</v>
      </c>
      <c r="C134" s="11" t="s">
        <v>603</v>
      </c>
      <c r="D134" s="11" t="s">
        <v>451</v>
      </c>
      <c r="E134" s="11" t="s">
        <v>435</v>
      </c>
      <c r="F134" s="11" t="s">
        <v>478</v>
      </c>
      <c r="G134" s="11" t="s">
        <v>437</v>
      </c>
      <c r="H134" s="11" t="s">
        <v>438</v>
      </c>
      <c r="I134" s="11"/>
      <c r="J134" s="12" t="s">
        <v>439</v>
      </c>
      <c r="K134" s="12" t="s">
        <v>439</v>
      </c>
      <c r="L134" s="13"/>
      <c r="M134" s="13"/>
      <c r="N134" s="11" t="str">
        <f aca="false">IF(AND(L134&lt;&gt;"",M134&lt;&gt;""),"yes",IF(OR(L134&lt;&gt;"",M134&lt;&gt;""),"partial","no"))</f>
        <v>no</v>
      </c>
    </row>
    <row r="135" customFormat="false" ht="15" hidden="false" customHeight="true" outlineLevel="0" collapsed="false">
      <c r="A135" s="11" t="s">
        <v>9</v>
      </c>
      <c r="B135" s="11" t="s">
        <v>604</v>
      </c>
      <c r="C135" s="11" t="s">
        <v>605</v>
      </c>
      <c r="D135" s="11" t="s">
        <v>451</v>
      </c>
      <c r="E135" s="11" t="s">
        <v>435</v>
      </c>
      <c r="F135" s="11" t="s">
        <v>478</v>
      </c>
      <c r="G135" s="11" t="s">
        <v>437</v>
      </c>
      <c r="H135" s="11" t="s">
        <v>438</v>
      </c>
      <c r="I135" s="11"/>
      <c r="J135" s="12" t="s">
        <v>439</v>
      </c>
      <c r="K135" s="12" t="s">
        <v>439</v>
      </c>
      <c r="L135" s="13"/>
      <c r="M135" s="13"/>
      <c r="N135" s="11" t="str">
        <f aca="false">IF(AND(L135&lt;&gt;"",M135&lt;&gt;""),"yes",IF(OR(L135&lt;&gt;"",M135&lt;&gt;""),"partial","no"))</f>
        <v>no</v>
      </c>
    </row>
    <row r="136" customFormat="false" ht="15" hidden="false" customHeight="true" outlineLevel="0" collapsed="false">
      <c r="A136" s="11" t="s">
        <v>9</v>
      </c>
      <c r="B136" s="11" t="s">
        <v>606</v>
      </c>
      <c r="C136" s="11" t="s">
        <v>607</v>
      </c>
      <c r="D136" s="11" t="s">
        <v>608</v>
      </c>
      <c r="E136" s="11" t="s">
        <v>435</v>
      </c>
      <c r="F136" s="11" t="s">
        <v>478</v>
      </c>
      <c r="G136" s="11" t="s">
        <v>437</v>
      </c>
      <c r="H136" s="11" t="s">
        <v>438</v>
      </c>
      <c r="I136" s="11"/>
      <c r="J136" s="12" t="s">
        <v>439</v>
      </c>
      <c r="K136" s="12" t="s">
        <v>439</v>
      </c>
      <c r="L136" s="13"/>
      <c r="M136" s="13"/>
      <c r="N136" s="11" t="str">
        <f aca="false">IF(AND(L136&lt;&gt;"",M136&lt;&gt;""),"yes",IF(OR(L136&lt;&gt;"",M136&lt;&gt;""),"partial","no"))</f>
        <v>no</v>
      </c>
    </row>
    <row r="137" customFormat="false" ht="15" hidden="false" customHeight="true" outlineLevel="0" collapsed="false">
      <c r="A137" s="11" t="s">
        <v>9</v>
      </c>
      <c r="B137" s="11" t="s">
        <v>609</v>
      </c>
      <c r="C137" s="11" t="s">
        <v>610</v>
      </c>
      <c r="D137" s="11" t="s">
        <v>608</v>
      </c>
      <c r="E137" s="11" t="s">
        <v>435</v>
      </c>
      <c r="F137" s="11" t="s">
        <v>478</v>
      </c>
      <c r="G137" s="11" t="s">
        <v>437</v>
      </c>
      <c r="H137" s="11" t="s">
        <v>438</v>
      </c>
      <c r="I137" s="11"/>
      <c r="J137" s="12" t="s">
        <v>439</v>
      </c>
      <c r="K137" s="12" t="s">
        <v>439</v>
      </c>
      <c r="L137" s="13"/>
      <c r="M137" s="13"/>
      <c r="N137" s="11" t="str">
        <f aca="false">IF(AND(L137&lt;&gt;"",M137&lt;&gt;""),"yes",IF(OR(L137&lt;&gt;"",M137&lt;&gt;""),"partial","no"))</f>
        <v>no</v>
      </c>
    </row>
    <row r="138" customFormat="false" ht="15" hidden="false" customHeight="true" outlineLevel="0" collapsed="false">
      <c r="A138" s="11" t="s">
        <v>9</v>
      </c>
      <c r="B138" s="11" t="s">
        <v>611</v>
      </c>
      <c r="C138" s="11" t="s">
        <v>612</v>
      </c>
      <c r="D138" s="11" t="s">
        <v>613</v>
      </c>
      <c r="E138" s="11" t="s">
        <v>435</v>
      </c>
      <c r="F138" s="11" t="s">
        <v>478</v>
      </c>
      <c r="G138" s="11" t="s">
        <v>437</v>
      </c>
      <c r="H138" s="11" t="s">
        <v>438</v>
      </c>
      <c r="I138" s="11"/>
      <c r="J138" s="12" t="s">
        <v>439</v>
      </c>
      <c r="K138" s="12" t="s">
        <v>439</v>
      </c>
      <c r="L138" s="13"/>
      <c r="M138" s="13"/>
      <c r="N138" s="11" t="str">
        <f aca="false">IF(AND(L138&lt;&gt;"",M138&lt;&gt;""),"yes",IF(OR(L138&lt;&gt;"",M138&lt;&gt;""),"partial","no"))</f>
        <v>no</v>
      </c>
    </row>
    <row r="139" customFormat="false" ht="15" hidden="false" customHeight="true" outlineLevel="0" collapsed="false">
      <c r="A139" s="11" t="s">
        <v>9</v>
      </c>
      <c r="B139" s="11" t="s">
        <v>614</v>
      </c>
      <c r="C139" s="11" t="s">
        <v>615</v>
      </c>
      <c r="D139" s="11" t="s">
        <v>616</v>
      </c>
      <c r="E139" s="11" t="s">
        <v>435</v>
      </c>
      <c r="F139" s="11" t="s">
        <v>478</v>
      </c>
      <c r="G139" s="11" t="s">
        <v>437</v>
      </c>
      <c r="H139" s="11" t="s">
        <v>438</v>
      </c>
      <c r="I139" s="11"/>
      <c r="J139" s="12" t="s">
        <v>439</v>
      </c>
      <c r="K139" s="12" t="s">
        <v>439</v>
      </c>
      <c r="L139" s="13"/>
      <c r="M139" s="13"/>
      <c r="N139" s="11" t="str">
        <f aca="false">IF(AND(L139&lt;&gt;"",M139&lt;&gt;""),"yes",IF(OR(L139&lt;&gt;"",M139&lt;&gt;""),"partial","no"))</f>
        <v>no</v>
      </c>
    </row>
    <row r="140" customFormat="false" ht="15" hidden="false" customHeight="true" outlineLevel="0" collapsed="false">
      <c r="A140" s="11" t="s">
        <v>9</v>
      </c>
      <c r="B140" s="11" t="s">
        <v>617</v>
      </c>
      <c r="C140" s="11" t="s">
        <v>618</v>
      </c>
      <c r="D140" s="11" t="s">
        <v>616</v>
      </c>
      <c r="E140" s="11" t="s">
        <v>435</v>
      </c>
      <c r="F140" s="11" t="s">
        <v>478</v>
      </c>
      <c r="G140" s="11" t="s">
        <v>437</v>
      </c>
      <c r="H140" s="11" t="s">
        <v>438</v>
      </c>
      <c r="I140" s="11"/>
      <c r="J140" s="12" t="s">
        <v>439</v>
      </c>
      <c r="K140" s="12" t="s">
        <v>439</v>
      </c>
      <c r="L140" s="13"/>
      <c r="M140" s="13"/>
      <c r="N140" s="11" t="str">
        <f aca="false">IF(AND(L140&lt;&gt;"",M140&lt;&gt;""),"yes",IF(OR(L140&lt;&gt;"",M140&lt;&gt;""),"partial","no"))</f>
        <v>no</v>
      </c>
    </row>
    <row r="141" customFormat="false" ht="15" hidden="false" customHeight="true" outlineLevel="0" collapsed="false">
      <c r="A141" s="11" t="s">
        <v>9</v>
      </c>
      <c r="B141" s="11" t="s">
        <v>619</v>
      </c>
      <c r="C141" s="11" t="s">
        <v>620</v>
      </c>
      <c r="D141" s="11" t="s">
        <v>616</v>
      </c>
      <c r="E141" s="11" t="s">
        <v>435</v>
      </c>
      <c r="F141" s="11" t="s">
        <v>478</v>
      </c>
      <c r="G141" s="11" t="s">
        <v>437</v>
      </c>
      <c r="H141" s="11" t="s">
        <v>438</v>
      </c>
      <c r="I141" s="11"/>
      <c r="J141" s="12" t="s">
        <v>439</v>
      </c>
      <c r="K141" s="12" t="s">
        <v>439</v>
      </c>
      <c r="L141" s="13"/>
      <c r="M141" s="13"/>
      <c r="N141" s="11" t="str">
        <f aca="false">IF(AND(L141&lt;&gt;"",M141&lt;&gt;""),"yes",IF(OR(L141&lt;&gt;"",M141&lt;&gt;""),"partial","no"))</f>
        <v>no</v>
      </c>
    </row>
    <row r="142" customFormat="false" ht="15" hidden="false" customHeight="true" outlineLevel="0" collapsed="false">
      <c r="A142" s="11" t="s">
        <v>9</v>
      </c>
      <c r="B142" s="11" t="s">
        <v>621</v>
      </c>
      <c r="C142" s="11" t="s">
        <v>622</v>
      </c>
      <c r="D142" s="11" t="s">
        <v>623</v>
      </c>
      <c r="E142" s="11" t="s">
        <v>435</v>
      </c>
      <c r="F142" s="11" t="s">
        <v>478</v>
      </c>
      <c r="G142" s="11" t="s">
        <v>437</v>
      </c>
      <c r="H142" s="11" t="s">
        <v>438</v>
      </c>
      <c r="I142" s="11"/>
      <c r="J142" s="12" t="s">
        <v>439</v>
      </c>
      <c r="K142" s="12" t="s">
        <v>439</v>
      </c>
      <c r="L142" s="13"/>
      <c r="M142" s="13"/>
      <c r="N142" s="11" t="str">
        <f aca="false">IF(AND(L142&lt;&gt;"",M142&lt;&gt;""),"yes",IF(OR(L142&lt;&gt;"",M142&lt;&gt;""),"partial","no"))</f>
        <v>no</v>
      </c>
    </row>
    <row r="143" customFormat="false" ht="15" hidden="false" customHeight="true" outlineLevel="0" collapsed="false">
      <c r="A143" s="11" t="s">
        <v>9</v>
      </c>
      <c r="B143" s="11" t="s">
        <v>624</v>
      </c>
      <c r="C143" s="11" t="s">
        <v>625</v>
      </c>
      <c r="D143" s="11" t="s">
        <v>626</v>
      </c>
      <c r="E143" s="11" t="s">
        <v>435</v>
      </c>
      <c r="F143" s="11" t="s">
        <v>478</v>
      </c>
      <c r="G143" s="11" t="s">
        <v>437</v>
      </c>
      <c r="H143" s="11" t="s">
        <v>438</v>
      </c>
      <c r="I143" s="11"/>
      <c r="J143" s="12" t="s">
        <v>439</v>
      </c>
      <c r="K143" s="12" t="s">
        <v>439</v>
      </c>
      <c r="L143" s="13"/>
      <c r="M143" s="13"/>
      <c r="N143" s="11" t="str">
        <f aca="false">IF(AND(L143&lt;&gt;"",M143&lt;&gt;""),"yes",IF(OR(L143&lt;&gt;"",M143&lt;&gt;""),"partial","no"))</f>
        <v>no</v>
      </c>
    </row>
    <row r="144" customFormat="false" ht="15" hidden="false" customHeight="true" outlineLevel="0" collapsed="false">
      <c r="A144" s="11" t="s">
        <v>9</v>
      </c>
      <c r="B144" s="11" t="s">
        <v>627</v>
      </c>
      <c r="C144" s="11" t="s">
        <v>628</v>
      </c>
      <c r="D144" s="11" t="s">
        <v>629</v>
      </c>
      <c r="E144" s="11" t="s">
        <v>435</v>
      </c>
      <c r="F144" s="11" t="s">
        <v>478</v>
      </c>
      <c r="G144" s="11" t="s">
        <v>437</v>
      </c>
      <c r="H144" s="11" t="s">
        <v>438</v>
      </c>
      <c r="I144" s="11"/>
      <c r="J144" s="12" t="s">
        <v>439</v>
      </c>
      <c r="K144" s="12" t="s">
        <v>439</v>
      </c>
      <c r="L144" s="13"/>
      <c r="M144" s="13"/>
      <c r="N144" s="11" t="str">
        <f aca="false">IF(AND(L144&lt;&gt;"",M144&lt;&gt;""),"yes",IF(OR(L144&lt;&gt;"",M144&lt;&gt;""),"partial","no"))</f>
        <v>no</v>
      </c>
    </row>
    <row r="145" customFormat="false" ht="15" hidden="false" customHeight="true" outlineLevel="0" collapsed="false">
      <c r="A145" s="11" t="s">
        <v>9</v>
      </c>
      <c r="B145" s="11" t="s">
        <v>630</v>
      </c>
      <c r="C145" s="11" t="s">
        <v>631</v>
      </c>
      <c r="D145" s="11" t="s">
        <v>629</v>
      </c>
      <c r="E145" s="11" t="s">
        <v>435</v>
      </c>
      <c r="F145" s="11" t="s">
        <v>478</v>
      </c>
      <c r="G145" s="11" t="s">
        <v>437</v>
      </c>
      <c r="H145" s="11" t="s">
        <v>438</v>
      </c>
      <c r="I145" s="11"/>
      <c r="J145" s="12" t="s">
        <v>439</v>
      </c>
      <c r="K145" s="12" t="s">
        <v>439</v>
      </c>
      <c r="L145" s="13"/>
      <c r="M145" s="13"/>
      <c r="N145" s="11" t="str">
        <f aca="false">IF(AND(L145&lt;&gt;"",M145&lt;&gt;""),"yes",IF(OR(L145&lt;&gt;"",M145&lt;&gt;""),"partial","no"))</f>
        <v>no</v>
      </c>
    </row>
    <row r="146" customFormat="false" ht="15" hidden="false" customHeight="true" outlineLevel="0" collapsed="false">
      <c r="A146" s="11" t="s">
        <v>9</v>
      </c>
      <c r="B146" s="11" t="s">
        <v>632</v>
      </c>
      <c r="C146" s="11" t="s">
        <v>633</v>
      </c>
      <c r="D146" s="11" t="s">
        <v>457</v>
      </c>
      <c r="E146" s="11" t="s">
        <v>435</v>
      </c>
      <c r="F146" s="11" t="s">
        <v>478</v>
      </c>
      <c r="G146" s="11" t="s">
        <v>437</v>
      </c>
      <c r="H146" s="11" t="s">
        <v>438</v>
      </c>
      <c r="I146" s="11"/>
      <c r="J146" s="12" t="s">
        <v>439</v>
      </c>
      <c r="K146" s="12" t="s">
        <v>439</v>
      </c>
      <c r="L146" s="13"/>
      <c r="M146" s="13"/>
      <c r="N146" s="11" t="str">
        <f aca="false">IF(AND(L146&lt;&gt;"",M146&lt;&gt;""),"yes",IF(OR(L146&lt;&gt;"",M146&lt;&gt;""),"partial","no"))</f>
        <v>no</v>
      </c>
    </row>
    <row r="147" customFormat="false" ht="15" hidden="false" customHeight="true" outlineLevel="0" collapsed="false">
      <c r="A147" s="11" t="s">
        <v>9</v>
      </c>
      <c r="B147" s="11" t="s">
        <v>634</v>
      </c>
      <c r="C147" s="11" t="s">
        <v>635</v>
      </c>
      <c r="D147" s="11" t="s">
        <v>457</v>
      </c>
      <c r="E147" s="11" t="s">
        <v>435</v>
      </c>
      <c r="F147" s="11" t="s">
        <v>478</v>
      </c>
      <c r="G147" s="11" t="s">
        <v>437</v>
      </c>
      <c r="H147" s="11" t="s">
        <v>438</v>
      </c>
      <c r="I147" s="11"/>
      <c r="J147" s="12" t="s">
        <v>439</v>
      </c>
      <c r="K147" s="12" t="s">
        <v>439</v>
      </c>
      <c r="L147" s="13"/>
      <c r="M147" s="13"/>
      <c r="N147" s="11" t="str">
        <f aca="false">IF(AND(L147&lt;&gt;"",M147&lt;&gt;""),"yes",IF(OR(L147&lt;&gt;"",M147&lt;&gt;""),"partial","no"))</f>
        <v>no</v>
      </c>
    </row>
    <row r="148" customFormat="false" ht="15" hidden="false" customHeight="true" outlineLevel="0" collapsed="false">
      <c r="A148" s="11" t="s">
        <v>9</v>
      </c>
      <c r="B148" s="11" t="s">
        <v>636</v>
      </c>
      <c r="C148" s="11" t="s">
        <v>637</v>
      </c>
      <c r="D148" s="11" t="s">
        <v>461</v>
      </c>
      <c r="E148" s="11" t="s">
        <v>435</v>
      </c>
      <c r="F148" s="11" t="s">
        <v>478</v>
      </c>
      <c r="G148" s="11" t="s">
        <v>437</v>
      </c>
      <c r="H148" s="11" t="s">
        <v>438</v>
      </c>
      <c r="I148" s="11" t="s">
        <v>444</v>
      </c>
      <c r="J148" s="12" t="s">
        <v>439</v>
      </c>
      <c r="K148" s="12" t="s">
        <v>439</v>
      </c>
      <c r="L148" s="13"/>
      <c r="M148" s="13"/>
      <c r="N148" s="11" t="str">
        <f aca="false">IF(AND(L148&lt;&gt;"",M148&lt;&gt;""),"yes",IF(OR(L148&lt;&gt;"",M148&lt;&gt;""),"partial","no"))</f>
        <v>no</v>
      </c>
    </row>
    <row r="149" customFormat="false" ht="15" hidden="false" customHeight="true" outlineLevel="0" collapsed="false">
      <c r="A149" s="11" t="s">
        <v>9</v>
      </c>
      <c r="B149" s="11" t="s">
        <v>638</v>
      </c>
      <c r="C149" s="11" t="s">
        <v>639</v>
      </c>
      <c r="D149" s="11" t="s">
        <v>462</v>
      </c>
      <c r="E149" s="11" t="s">
        <v>435</v>
      </c>
      <c r="F149" s="11" t="s">
        <v>478</v>
      </c>
      <c r="G149" s="11" t="s">
        <v>437</v>
      </c>
      <c r="H149" s="11" t="s">
        <v>438</v>
      </c>
      <c r="I149" s="11" t="s">
        <v>444</v>
      </c>
      <c r="J149" s="12" t="s">
        <v>439</v>
      </c>
      <c r="K149" s="12" t="s">
        <v>439</v>
      </c>
      <c r="L149" s="13"/>
      <c r="M149" s="13"/>
      <c r="N149" s="11" t="str">
        <f aca="false">IF(AND(L149&lt;&gt;"",M149&lt;&gt;""),"yes",IF(OR(L149&lt;&gt;"",M149&lt;&gt;""),"partial","no"))</f>
        <v>no</v>
      </c>
    </row>
    <row r="150" customFormat="false" ht="15" hidden="false" customHeight="true" outlineLevel="0" collapsed="false">
      <c r="A150" s="11" t="s">
        <v>9</v>
      </c>
      <c r="B150" s="11" t="s">
        <v>640</v>
      </c>
      <c r="C150" s="11" t="s">
        <v>641</v>
      </c>
      <c r="D150" s="11" t="s">
        <v>462</v>
      </c>
      <c r="E150" s="11" t="s">
        <v>435</v>
      </c>
      <c r="F150" s="11" t="s">
        <v>478</v>
      </c>
      <c r="G150" s="11" t="s">
        <v>437</v>
      </c>
      <c r="H150" s="11" t="s">
        <v>438</v>
      </c>
      <c r="I150" s="11" t="s">
        <v>444</v>
      </c>
      <c r="J150" s="12" t="s">
        <v>439</v>
      </c>
      <c r="K150" s="12" t="s">
        <v>439</v>
      </c>
      <c r="L150" s="13"/>
      <c r="M150" s="13"/>
      <c r="N150" s="11" t="str">
        <f aca="false">IF(AND(L150&lt;&gt;"",M150&lt;&gt;""),"yes",IF(OR(L150&lt;&gt;"",M150&lt;&gt;""),"partial","no"))</f>
        <v>no</v>
      </c>
    </row>
    <row r="151" customFormat="false" ht="15" hidden="false" customHeight="true" outlineLevel="0" collapsed="false">
      <c r="A151" s="11" t="s">
        <v>9</v>
      </c>
      <c r="B151" s="11" t="s">
        <v>642</v>
      </c>
      <c r="C151" s="11" t="s">
        <v>643</v>
      </c>
      <c r="D151" s="11" t="s">
        <v>462</v>
      </c>
      <c r="E151" s="11" t="s">
        <v>435</v>
      </c>
      <c r="F151" s="11" t="s">
        <v>478</v>
      </c>
      <c r="G151" s="11" t="s">
        <v>437</v>
      </c>
      <c r="H151" s="11" t="s">
        <v>438</v>
      </c>
      <c r="I151" s="11" t="s">
        <v>444</v>
      </c>
      <c r="J151" s="12" t="s">
        <v>439</v>
      </c>
      <c r="K151" s="12" t="s">
        <v>439</v>
      </c>
      <c r="L151" s="13"/>
      <c r="M151" s="13"/>
      <c r="N151" s="11" t="str">
        <f aca="false">IF(AND(L151&lt;&gt;"",M151&lt;&gt;""),"yes",IF(OR(L151&lt;&gt;"",M151&lt;&gt;""),"partial","no"))</f>
        <v>no</v>
      </c>
    </row>
    <row r="152" customFormat="false" ht="15" hidden="false" customHeight="true" outlineLevel="0" collapsed="false">
      <c r="A152" s="11" t="s">
        <v>9</v>
      </c>
      <c r="B152" s="11" t="s">
        <v>644</v>
      </c>
      <c r="C152" s="11" t="s">
        <v>645</v>
      </c>
      <c r="D152" s="11" t="s">
        <v>462</v>
      </c>
      <c r="E152" s="11" t="s">
        <v>435</v>
      </c>
      <c r="F152" s="11" t="s">
        <v>478</v>
      </c>
      <c r="G152" s="11" t="s">
        <v>437</v>
      </c>
      <c r="H152" s="11" t="s">
        <v>438</v>
      </c>
      <c r="I152" s="11" t="s">
        <v>444</v>
      </c>
      <c r="J152" s="12" t="s">
        <v>439</v>
      </c>
      <c r="K152" s="12" t="s">
        <v>439</v>
      </c>
      <c r="L152" s="13"/>
      <c r="M152" s="13"/>
      <c r="N152" s="11" t="str">
        <f aca="false">IF(AND(L152&lt;&gt;"",M152&lt;&gt;""),"yes",IF(OR(L152&lt;&gt;"",M152&lt;&gt;""),"partial","no"))</f>
        <v>no</v>
      </c>
    </row>
    <row r="153" customFormat="false" ht="15" hidden="false" customHeight="true" outlineLevel="0" collapsed="false">
      <c r="A153" s="11" t="s">
        <v>9</v>
      </c>
      <c r="B153" s="11" t="s">
        <v>646</v>
      </c>
      <c r="C153" s="11" t="s">
        <v>647</v>
      </c>
      <c r="D153" s="11" t="s">
        <v>462</v>
      </c>
      <c r="E153" s="11" t="s">
        <v>435</v>
      </c>
      <c r="F153" s="11" t="s">
        <v>478</v>
      </c>
      <c r="G153" s="11" t="s">
        <v>437</v>
      </c>
      <c r="H153" s="11" t="s">
        <v>438</v>
      </c>
      <c r="I153" s="11" t="s">
        <v>444</v>
      </c>
      <c r="J153" s="12" t="s">
        <v>439</v>
      </c>
      <c r="K153" s="12" t="s">
        <v>439</v>
      </c>
      <c r="L153" s="13"/>
      <c r="M153" s="13"/>
      <c r="N153" s="11" t="str">
        <f aca="false">IF(AND(L153&lt;&gt;"",M153&lt;&gt;""),"yes",IF(OR(L153&lt;&gt;"",M153&lt;&gt;""),"partial","no"))</f>
        <v>no</v>
      </c>
    </row>
    <row r="154" customFormat="false" ht="15" hidden="false" customHeight="true" outlineLevel="0" collapsed="false">
      <c r="A154" s="11" t="s">
        <v>9</v>
      </c>
      <c r="B154" s="11" t="s">
        <v>644</v>
      </c>
      <c r="C154" s="11" t="s">
        <v>645</v>
      </c>
      <c r="D154" s="11" t="s">
        <v>462</v>
      </c>
      <c r="E154" s="11" t="s">
        <v>435</v>
      </c>
      <c r="F154" s="11" t="s">
        <v>478</v>
      </c>
      <c r="G154" s="11" t="s">
        <v>437</v>
      </c>
      <c r="H154" s="11" t="s">
        <v>438</v>
      </c>
      <c r="I154" s="11" t="s">
        <v>444</v>
      </c>
      <c r="J154" s="12" t="s">
        <v>439</v>
      </c>
      <c r="K154" s="12" t="s">
        <v>439</v>
      </c>
      <c r="L154" s="13"/>
      <c r="M154" s="13"/>
      <c r="N154" s="11" t="str">
        <f aca="false">IF(AND(L154&lt;&gt;"",M154&lt;&gt;""),"yes",IF(OR(L154&lt;&gt;"",M154&lt;&gt;""),"partial","no"))</f>
        <v>no</v>
      </c>
    </row>
    <row r="155" customFormat="false" ht="15" hidden="false" customHeight="true" outlineLevel="0" collapsed="false">
      <c r="A155" s="11" t="s">
        <v>9</v>
      </c>
      <c r="B155" s="11" t="s">
        <v>646</v>
      </c>
      <c r="C155" s="11" t="s">
        <v>647</v>
      </c>
      <c r="D155" s="11" t="s">
        <v>462</v>
      </c>
      <c r="E155" s="11" t="s">
        <v>435</v>
      </c>
      <c r="F155" s="11" t="s">
        <v>478</v>
      </c>
      <c r="G155" s="11" t="s">
        <v>437</v>
      </c>
      <c r="H155" s="11" t="s">
        <v>438</v>
      </c>
      <c r="I155" s="11" t="s">
        <v>444</v>
      </c>
      <c r="J155" s="12" t="s">
        <v>439</v>
      </c>
      <c r="K155" s="12" t="s">
        <v>439</v>
      </c>
      <c r="L155" s="13"/>
      <c r="M155" s="13"/>
      <c r="N155" s="11" t="str">
        <f aca="false">IF(AND(L155&lt;&gt;"",M155&lt;&gt;""),"yes",IF(OR(L155&lt;&gt;"",M155&lt;&gt;""),"partial","no"))</f>
        <v>no</v>
      </c>
    </row>
    <row r="156" customFormat="false" ht="15" hidden="false" customHeight="true" outlineLevel="0" collapsed="false">
      <c r="A156" s="11" t="s">
        <v>9</v>
      </c>
      <c r="B156" s="11" t="s">
        <v>648</v>
      </c>
      <c r="C156" s="11" t="s">
        <v>649</v>
      </c>
      <c r="D156" s="11" t="s">
        <v>650</v>
      </c>
      <c r="E156" s="11" t="s">
        <v>435</v>
      </c>
      <c r="F156" s="11" t="s">
        <v>478</v>
      </c>
      <c r="G156" s="11" t="s">
        <v>437</v>
      </c>
      <c r="H156" s="11" t="s">
        <v>438</v>
      </c>
      <c r="I156" s="11" t="s">
        <v>444</v>
      </c>
      <c r="J156" s="12" t="s">
        <v>439</v>
      </c>
      <c r="K156" s="12" t="s">
        <v>439</v>
      </c>
      <c r="L156" s="13"/>
      <c r="M156" s="13"/>
      <c r="N156" s="11" t="str">
        <f aca="false">IF(AND(L156&lt;&gt;"",M156&lt;&gt;""),"yes",IF(OR(L156&lt;&gt;"",M156&lt;&gt;""),"partial","no"))</f>
        <v>no</v>
      </c>
    </row>
    <row r="157" customFormat="false" ht="15" hidden="false" customHeight="true" outlineLevel="0" collapsed="false">
      <c r="A157" s="11" t="s">
        <v>9</v>
      </c>
      <c r="B157" s="11" t="s">
        <v>651</v>
      </c>
      <c r="C157" s="11" t="s">
        <v>652</v>
      </c>
      <c r="D157" s="11" t="s">
        <v>653</v>
      </c>
      <c r="E157" s="11" t="s">
        <v>435</v>
      </c>
      <c r="F157" s="11" t="s">
        <v>478</v>
      </c>
      <c r="G157" s="11" t="s">
        <v>437</v>
      </c>
      <c r="H157" s="11" t="s">
        <v>438</v>
      </c>
      <c r="I157" s="11" t="s">
        <v>444</v>
      </c>
      <c r="J157" s="12" t="s">
        <v>439</v>
      </c>
      <c r="K157" s="12" t="s">
        <v>439</v>
      </c>
      <c r="L157" s="13"/>
      <c r="M157" s="13"/>
      <c r="N157" s="11" t="str">
        <f aca="false">IF(AND(L157&lt;&gt;"",M157&lt;&gt;""),"yes",IF(OR(L157&lt;&gt;"",M157&lt;&gt;""),"partial","no"))</f>
        <v>no</v>
      </c>
    </row>
    <row r="158" customFormat="false" ht="15" hidden="false" customHeight="true" outlineLevel="0" collapsed="false">
      <c r="A158" s="11" t="s">
        <v>9</v>
      </c>
      <c r="B158" s="11" t="s">
        <v>654</v>
      </c>
      <c r="C158" s="11" t="s">
        <v>655</v>
      </c>
      <c r="D158" s="11" t="s">
        <v>656</v>
      </c>
      <c r="E158" s="11" t="s">
        <v>435</v>
      </c>
      <c r="F158" s="11" t="s">
        <v>478</v>
      </c>
      <c r="G158" s="11" t="s">
        <v>437</v>
      </c>
      <c r="H158" s="11" t="s">
        <v>438</v>
      </c>
      <c r="I158" s="11" t="s">
        <v>444</v>
      </c>
      <c r="J158" s="12" t="s">
        <v>439</v>
      </c>
      <c r="K158" s="12" t="s">
        <v>439</v>
      </c>
      <c r="L158" s="13"/>
      <c r="M158" s="13"/>
      <c r="N158" s="11" t="str">
        <f aca="false">IF(AND(L158&lt;&gt;"",M158&lt;&gt;""),"yes",IF(OR(L158&lt;&gt;"",M158&lt;&gt;""),"partial","no"))</f>
        <v>no</v>
      </c>
    </row>
    <row r="159" customFormat="false" ht="15" hidden="false" customHeight="true" outlineLevel="0" collapsed="false">
      <c r="A159" s="11" t="s">
        <v>9</v>
      </c>
      <c r="B159" s="11" t="s">
        <v>657</v>
      </c>
      <c r="C159" s="11" t="s">
        <v>658</v>
      </c>
      <c r="D159" s="11" t="s">
        <v>464</v>
      </c>
      <c r="E159" s="11" t="s">
        <v>435</v>
      </c>
      <c r="F159" s="11" t="s">
        <v>478</v>
      </c>
      <c r="G159" s="11" t="s">
        <v>437</v>
      </c>
      <c r="H159" s="11" t="s">
        <v>438</v>
      </c>
      <c r="I159" s="11"/>
      <c r="J159" s="12" t="s">
        <v>439</v>
      </c>
      <c r="K159" s="12" t="s">
        <v>439</v>
      </c>
      <c r="L159" s="13"/>
      <c r="M159" s="13"/>
      <c r="N159" s="11" t="str">
        <f aca="false">IF(AND(L159&lt;&gt;"",M159&lt;&gt;""),"yes",IF(OR(L159&lt;&gt;"",M159&lt;&gt;""),"partial","no"))</f>
        <v>no</v>
      </c>
    </row>
    <row r="160" customFormat="false" ht="15" hidden="false" customHeight="true" outlineLevel="0" collapsed="false">
      <c r="A160" s="11" t="s">
        <v>9</v>
      </c>
      <c r="B160" s="11" t="s">
        <v>659</v>
      </c>
      <c r="C160" s="11" t="s">
        <v>660</v>
      </c>
      <c r="D160" s="11" t="s">
        <v>661</v>
      </c>
      <c r="E160" s="11" t="s">
        <v>435</v>
      </c>
      <c r="F160" s="11" t="s">
        <v>478</v>
      </c>
      <c r="G160" s="11" t="s">
        <v>437</v>
      </c>
      <c r="H160" s="11" t="s">
        <v>438</v>
      </c>
      <c r="I160" s="11"/>
      <c r="J160" s="12" t="s">
        <v>439</v>
      </c>
      <c r="K160" s="12" t="s">
        <v>439</v>
      </c>
      <c r="L160" s="13"/>
      <c r="M160" s="13"/>
      <c r="N160" s="11" t="str">
        <f aca="false">IF(AND(L160&lt;&gt;"",M160&lt;&gt;""),"yes",IF(OR(L160&lt;&gt;"",M160&lt;&gt;""),"partial","no"))</f>
        <v>no</v>
      </c>
    </row>
    <row r="161" customFormat="false" ht="15" hidden="false" customHeight="true" outlineLevel="0" collapsed="false">
      <c r="A161" s="11" t="s">
        <v>9</v>
      </c>
      <c r="B161" s="11" t="s">
        <v>662</v>
      </c>
      <c r="C161" s="11" t="s">
        <v>663</v>
      </c>
      <c r="D161" s="11" t="s">
        <v>661</v>
      </c>
      <c r="E161" s="11" t="s">
        <v>435</v>
      </c>
      <c r="F161" s="11" t="s">
        <v>478</v>
      </c>
      <c r="G161" s="11" t="s">
        <v>437</v>
      </c>
      <c r="H161" s="11" t="s">
        <v>438</v>
      </c>
      <c r="I161" s="11"/>
      <c r="J161" s="12" t="s">
        <v>439</v>
      </c>
      <c r="K161" s="12" t="s">
        <v>439</v>
      </c>
      <c r="L161" s="13"/>
      <c r="M161" s="13"/>
      <c r="N161" s="11" t="str">
        <f aca="false">IF(AND(L161&lt;&gt;"",M161&lt;&gt;""),"yes",IF(OR(L161&lt;&gt;"",M161&lt;&gt;""),"partial","no"))</f>
        <v>no</v>
      </c>
    </row>
    <row r="162" customFormat="false" ht="15" hidden="false" customHeight="true" outlineLevel="0" collapsed="false">
      <c r="A162" s="11" t="s">
        <v>9</v>
      </c>
      <c r="B162" s="11" t="s">
        <v>664</v>
      </c>
      <c r="C162" s="11" t="s">
        <v>665</v>
      </c>
      <c r="D162" s="11" t="s">
        <v>661</v>
      </c>
      <c r="E162" s="11" t="s">
        <v>435</v>
      </c>
      <c r="F162" s="11" t="s">
        <v>478</v>
      </c>
      <c r="G162" s="11" t="s">
        <v>437</v>
      </c>
      <c r="H162" s="11" t="s">
        <v>438</v>
      </c>
      <c r="I162" s="11"/>
      <c r="J162" s="12" t="s">
        <v>439</v>
      </c>
      <c r="K162" s="12" t="s">
        <v>439</v>
      </c>
      <c r="L162" s="13"/>
      <c r="M162" s="13"/>
      <c r="N162" s="11" t="str">
        <f aca="false">IF(AND(L162&lt;&gt;"",M162&lt;&gt;""),"yes",IF(OR(L162&lt;&gt;"",M162&lt;&gt;""),"partial","no"))</f>
        <v>no</v>
      </c>
    </row>
    <row r="163" customFormat="false" ht="15" hidden="false" customHeight="true" outlineLevel="0" collapsed="false">
      <c r="A163" s="11" t="s">
        <v>9</v>
      </c>
      <c r="B163" s="11" t="s">
        <v>666</v>
      </c>
      <c r="C163" s="11" t="s">
        <v>667</v>
      </c>
      <c r="D163" s="11" t="s">
        <v>668</v>
      </c>
      <c r="E163" s="11" t="s">
        <v>435</v>
      </c>
      <c r="F163" s="11" t="s">
        <v>478</v>
      </c>
      <c r="G163" s="11" t="s">
        <v>437</v>
      </c>
      <c r="H163" s="11" t="s">
        <v>438</v>
      </c>
      <c r="I163" s="11"/>
      <c r="J163" s="12" t="s">
        <v>439</v>
      </c>
      <c r="K163" s="12" t="s">
        <v>439</v>
      </c>
      <c r="L163" s="13"/>
      <c r="M163" s="13"/>
      <c r="N163" s="11" t="str">
        <f aca="false">IF(AND(L163&lt;&gt;"",M163&lt;&gt;""),"yes",IF(OR(L163&lt;&gt;"",M163&lt;&gt;""),"partial","no"))</f>
        <v>no</v>
      </c>
    </row>
    <row r="164" customFormat="false" ht="15" hidden="false" customHeight="true" outlineLevel="0" collapsed="false">
      <c r="A164" s="11" t="s">
        <v>9</v>
      </c>
      <c r="B164" s="11" t="s">
        <v>669</v>
      </c>
      <c r="C164" s="11" t="s">
        <v>670</v>
      </c>
      <c r="D164" s="11" t="s">
        <v>668</v>
      </c>
      <c r="E164" s="11" t="s">
        <v>435</v>
      </c>
      <c r="F164" s="11" t="s">
        <v>478</v>
      </c>
      <c r="G164" s="11" t="s">
        <v>437</v>
      </c>
      <c r="H164" s="11" t="s">
        <v>438</v>
      </c>
      <c r="I164" s="11"/>
      <c r="J164" s="12" t="s">
        <v>439</v>
      </c>
      <c r="K164" s="12" t="s">
        <v>439</v>
      </c>
      <c r="L164" s="13"/>
      <c r="M164" s="13"/>
      <c r="N164" s="11" t="str">
        <f aca="false">IF(AND(L164&lt;&gt;"",M164&lt;&gt;""),"yes",IF(OR(L164&lt;&gt;"",M164&lt;&gt;""),"partial","no"))</f>
        <v>no</v>
      </c>
    </row>
    <row r="165" customFormat="false" ht="15" hidden="false" customHeight="true" outlineLevel="0" collapsed="false">
      <c r="A165" s="11" t="s">
        <v>9</v>
      </c>
      <c r="B165" s="11" t="s">
        <v>671</v>
      </c>
      <c r="C165" s="11" t="s">
        <v>672</v>
      </c>
      <c r="D165" s="11" t="s">
        <v>668</v>
      </c>
      <c r="E165" s="11" t="s">
        <v>435</v>
      </c>
      <c r="F165" s="11" t="s">
        <v>478</v>
      </c>
      <c r="G165" s="11" t="s">
        <v>437</v>
      </c>
      <c r="H165" s="11" t="s">
        <v>438</v>
      </c>
      <c r="I165" s="11"/>
      <c r="J165" s="12" t="s">
        <v>439</v>
      </c>
      <c r="K165" s="12" t="s">
        <v>439</v>
      </c>
      <c r="L165" s="13"/>
      <c r="M165" s="13"/>
      <c r="N165" s="11" t="str">
        <f aca="false">IF(AND(L165&lt;&gt;"",M165&lt;&gt;""),"yes",IF(OR(L165&lt;&gt;"",M165&lt;&gt;""),"partial","no"))</f>
        <v>no</v>
      </c>
    </row>
    <row r="166" customFormat="false" ht="15" hidden="false" customHeight="true" outlineLevel="0" collapsed="false">
      <c r="A166" s="11" t="s">
        <v>9</v>
      </c>
      <c r="B166" s="11" t="s">
        <v>673</v>
      </c>
      <c r="C166" s="11" t="s">
        <v>674</v>
      </c>
      <c r="D166" s="11" t="s">
        <v>668</v>
      </c>
      <c r="E166" s="11" t="s">
        <v>435</v>
      </c>
      <c r="F166" s="11" t="s">
        <v>478</v>
      </c>
      <c r="G166" s="11" t="s">
        <v>437</v>
      </c>
      <c r="H166" s="11" t="s">
        <v>438</v>
      </c>
      <c r="I166" s="11"/>
      <c r="J166" s="12" t="s">
        <v>439</v>
      </c>
      <c r="K166" s="12" t="s">
        <v>439</v>
      </c>
      <c r="L166" s="13"/>
      <c r="M166" s="13"/>
      <c r="N166" s="11" t="str">
        <f aca="false">IF(AND(L166&lt;&gt;"",M166&lt;&gt;""),"yes",IF(OR(L166&lt;&gt;"",M166&lt;&gt;""),"partial","no"))</f>
        <v>no</v>
      </c>
    </row>
    <row r="167" customFormat="false" ht="15" hidden="false" customHeight="true" outlineLevel="0" collapsed="false">
      <c r="A167" s="11" t="s">
        <v>9</v>
      </c>
      <c r="B167" s="11" t="s">
        <v>675</v>
      </c>
      <c r="C167" s="11" t="s">
        <v>676</v>
      </c>
      <c r="D167" s="11" t="s">
        <v>668</v>
      </c>
      <c r="E167" s="11" t="s">
        <v>435</v>
      </c>
      <c r="F167" s="11" t="s">
        <v>478</v>
      </c>
      <c r="G167" s="11" t="s">
        <v>437</v>
      </c>
      <c r="H167" s="11" t="s">
        <v>438</v>
      </c>
      <c r="I167" s="11"/>
      <c r="J167" s="12" t="s">
        <v>439</v>
      </c>
      <c r="K167" s="12" t="s">
        <v>439</v>
      </c>
      <c r="L167" s="13"/>
      <c r="M167" s="13"/>
      <c r="N167" s="11" t="str">
        <f aca="false">IF(AND(L167&lt;&gt;"",M167&lt;&gt;""),"yes",IF(OR(L167&lt;&gt;"",M167&lt;&gt;""),"partial","no"))</f>
        <v>no</v>
      </c>
    </row>
    <row r="168" customFormat="false" ht="15" hidden="false" customHeight="true" outlineLevel="0" collapsed="false">
      <c r="A168" s="11" t="s">
        <v>9</v>
      </c>
      <c r="B168" s="11" t="s">
        <v>677</v>
      </c>
      <c r="C168" s="11" t="s">
        <v>678</v>
      </c>
      <c r="D168" s="11" t="s">
        <v>668</v>
      </c>
      <c r="E168" s="11" t="s">
        <v>435</v>
      </c>
      <c r="F168" s="11" t="s">
        <v>478</v>
      </c>
      <c r="G168" s="11" t="s">
        <v>437</v>
      </c>
      <c r="H168" s="11" t="s">
        <v>438</v>
      </c>
      <c r="I168" s="11"/>
      <c r="J168" s="12" t="s">
        <v>439</v>
      </c>
      <c r="K168" s="12" t="s">
        <v>439</v>
      </c>
      <c r="L168" s="13"/>
      <c r="M168" s="13"/>
      <c r="N168" s="11" t="str">
        <f aca="false">IF(AND(L168&lt;&gt;"",M168&lt;&gt;""),"yes",IF(OR(L168&lt;&gt;"",M168&lt;&gt;""),"partial","no"))</f>
        <v>no</v>
      </c>
    </row>
    <row r="169" customFormat="false" ht="15" hidden="false" customHeight="true" outlineLevel="0" collapsed="false">
      <c r="A169" s="11" t="s">
        <v>9</v>
      </c>
      <c r="B169" s="11" t="s">
        <v>679</v>
      </c>
      <c r="C169" s="11" t="s">
        <v>680</v>
      </c>
      <c r="D169" s="11" t="s">
        <v>668</v>
      </c>
      <c r="E169" s="11" t="s">
        <v>435</v>
      </c>
      <c r="F169" s="11" t="s">
        <v>478</v>
      </c>
      <c r="G169" s="11" t="s">
        <v>437</v>
      </c>
      <c r="H169" s="11" t="s">
        <v>438</v>
      </c>
      <c r="I169" s="11"/>
      <c r="J169" s="12" t="s">
        <v>439</v>
      </c>
      <c r="K169" s="12" t="s">
        <v>439</v>
      </c>
      <c r="L169" s="13"/>
      <c r="M169" s="13"/>
      <c r="N169" s="11" t="str">
        <f aca="false">IF(AND(L169&lt;&gt;"",M169&lt;&gt;""),"yes",IF(OR(L169&lt;&gt;"",M169&lt;&gt;""),"partial","no"))</f>
        <v>no</v>
      </c>
    </row>
    <row r="170" customFormat="false" ht="15" hidden="false" customHeight="true" outlineLevel="0" collapsed="false">
      <c r="A170" s="11" t="s">
        <v>9</v>
      </c>
      <c r="B170" s="11" t="s">
        <v>681</v>
      </c>
      <c r="C170" s="11" t="s">
        <v>682</v>
      </c>
      <c r="D170" s="11" t="s">
        <v>668</v>
      </c>
      <c r="E170" s="11" t="s">
        <v>435</v>
      </c>
      <c r="F170" s="11" t="s">
        <v>478</v>
      </c>
      <c r="G170" s="11" t="s">
        <v>437</v>
      </c>
      <c r="H170" s="11" t="s">
        <v>438</v>
      </c>
      <c r="I170" s="11"/>
      <c r="J170" s="12" t="s">
        <v>439</v>
      </c>
      <c r="K170" s="12" t="s">
        <v>439</v>
      </c>
      <c r="L170" s="13"/>
      <c r="M170" s="13"/>
      <c r="N170" s="11" t="str">
        <f aca="false">IF(AND(L170&lt;&gt;"",M170&lt;&gt;""),"yes",IF(OR(L170&lt;&gt;"",M170&lt;&gt;""),"partial","no"))</f>
        <v>no</v>
      </c>
    </row>
    <row r="171" customFormat="false" ht="15" hidden="false" customHeight="true" outlineLevel="0" collapsed="false">
      <c r="A171" s="11" t="s">
        <v>9</v>
      </c>
      <c r="B171" s="11" t="s">
        <v>683</v>
      </c>
      <c r="C171" s="11" t="s">
        <v>684</v>
      </c>
      <c r="D171" s="11" t="s">
        <v>668</v>
      </c>
      <c r="E171" s="11" t="s">
        <v>435</v>
      </c>
      <c r="F171" s="11" t="s">
        <v>478</v>
      </c>
      <c r="G171" s="11" t="s">
        <v>437</v>
      </c>
      <c r="H171" s="11" t="s">
        <v>438</v>
      </c>
      <c r="I171" s="11"/>
      <c r="J171" s="12" t="s">
        <v>439</v>
      </c>
      <c r="K171" s="12" t="s">
        <v>439</v>
      </c>
      <c r="L171" s="13"/>
      <c r="M171" s="13"/>
      <c r="N171" s="11" t="str">
        <f aca="false">IF(AND(L171&lt;&gt;"",M171&lt;&gt;""),"yes",IF(OR(L171&lt;&gt;"",M171&lt;&gt;""),"partial","no"))</f>
        <v>no</v>
      </c>
    </row>
    <row r="172" customFormat="false" ht="15" hidden="false" customHeight="true" outlineLevel="0" collapsed="false">
      <c r="A172" s="11" t="s">
        <v>9</v>
      </c>
      <c r="B172" s="11" t="s">
        <v>666</v>
      </c>
      <c r="C172" s="11" t="s">
        <v>667</v>
      </c>
      <c r="D172" s="11" t="s">
        <v>668</v>
      </c>
      <c r="E172" s="11" t="s">
        <v>435</v>
      </c>
      <c r="F172" s="11" t="s">
        <v>478</v>
      </c>
      <c r="G172" s="11" t="s">
        <v>437</v>
      </c>
      <c r="H172" s="11" t="s">
        <v>438</v>
      </c>
      <c r="I172" s="11"/>
      <c r="J172" s="12" t="s">
        <v>439</v>
      </c>
      <c r="K172" s="12" t="s">
        <v>439</v>
      </c>
      <c r="L172" s="13"/>
      <c r="M172" s="13"/>
      <c r="N172" s="11" t="str">
        <f aca="false">IF(AND(L172&lt;&gt;"",M172&lt;&gt;""),"yes",IF(OR(L172&lt;&gt;"",M172&lt;&gt;""),"partial","no"))</f>
        <v>no</v>
      </c>
    </row>
    <row r="173" customFormat="false" ht="15" hidden="false" customHeight="true" outlineLevel="0" collapsed="false">
      <c r="A173" s="11" t="s">
        <v>9</v>
      </c>
      <c r="B173" s="11" t="s">
        <v>669</v>
      </c>
      <c r="C173" s="11" t="s">
        <v>670</v>
      </c>
      <c r="D173" s="11" t="s">
        <v>668</v>
      </c>
      <c r="E173" s="11" t="s">
        <v>435</v>
      </c>
      <c r="F173" s="11" t="s">
        <v>478</v>
      </c>
      <c r="G173" s="11" t="s">
        <v>437</v>
      </c>
      <c r="H173" s="11" t="s">
        <v>438</v>
      </c>
      <c r="I173" s="11"/>
      <c r="J173" s="12" t="s">
        <v>439</v>
      </c>
      <c r="K173" s="12" t="s">
        <v>439</v>
      </c>
      <c r="L173" s="13"/>
      <c r="M173" s="13"/>
      <c r="N173" s="11" t="str">
        <f aca="false">IF(AND(L173&lt;&gt;"",M173&lt;&gt;""),"yes",IF(OR(L173&lt;&gt;"",M173&lt;&gt;""),"partial","no"))</f>
        <v>no</v>
      </c>
    </row>
    <row r="174" customFormat="false" ht="15" hidden="false" customHeight="true" outlineLevel="0" collapsed="false">
      <c r="A174" s="11" t="s">
        <v>9</v>
      </c>
      <c r="B174" s="11" t="s">
        <v>671</v>
      </c>
      <c r="C174" s="11" t="s">
        <v>672</v>
      </c>
      <c r="D174" s="11" t="s">
        <v>668</v>
      </c>
      <c r="E174" s="11" t="s">
        <v>435</v>
      </c>
      <c r="F174" s="11" t="s">
        <v>478</v>
      </c>
      <c r="G174" s="11" t="s">
        <v>437</v>
      </c>
      <c r="H174" s="11" t="s">
        <v>438</v>
      </c>
      <c r="I174" s="11"/>
      <c r="J174" s="12" t="s">
        <v>439</v>
      </c>
      <c r="K174" s="12" t="s">
        <v>439</v>
      </c>
      <c r="L174" s="13"/>
      <c r="M174" s="13"/>
      <c r="N174" s="11" t="str">
        <f aca="false">IF(AND(L174&lt;&gt;"",M174&lt;&gt;""),"yes",IF(OR(L174&lt;&gt;"",M174&lt;&gt;""),"partial","no"))</f>
        <v>no</v>
      </c>
    </row>
    <row r="175" customFormat="false" ht="15" hidden="false" customHeight="true" outlineLevel="0" collapsed="false">
      <c r="A175" s="11" t="s">
        <v>9</v>
      </c>
      <c r="B175" s="11" t="s">
        <v>673</v>
      </c>
      <c r="C175" s="11" t="s">
        <v>674</v>
      </c>
      <c r="D175" s="11" t="s">
        <v>668</v>
      </c>
      <c r="E175" s="11" t="s">
        <v>435</v>
      </c>
      <c r="F175" s="11" t="s">
        <v>478</v>
      </c>
      <c r="G175" s="11" t="s">
        <v>437</v>
      </c>
      <c r="H175" s="11" t="s">
        <v>438</v>
      </c>
      <c r="I175" s="11"/>
      <c r="J175" s="12" t="s">
        <v>439</v>
      </c>
      <c r="K175" s="12" t="s">
        <v>439</v>
      </c>
      <c r="L175" s="13"/>
      <c r="M175" s="13"/>
      <c r="N175" s="11" t="str">
        <f aca="false">IF(AND(L175&lt;&gt;"",M175&lt;&gt;""),"yes",IF(OR(L175&lt;&gt;"",M175&lt;&gt;""),"partial","no"))</f>
        <v>no</v>
      </c>
    </row>
    <row r="176" customFormat="false" ht="15" hidden="false" customHeight="true" outlineLevel="0" collapsed="false">
      <c r="A176" s="11" t="s">
        <v>9</v>
      </c>
      <c r="B176" s="11" t="s">
        <v>675</v>
      </c>
      <c r="C176" s="11" t="s">
        <v>676</v>
      </c>
      <c r="D176" s="11" t="s">
        <v>668</v>
      </c>
      <c r="E176" s="11" t="s">
        <v>435</v>
      </c>
      <c r="F176" s="11" t="s">
        <v>478</v>
      </c>
      <c r="G176" s="11" t="s">
        <v>437</v>
      </c>
      <c r="H176" s="11" t="s">
        <v>438</v>
      </c>
      <c r="I176" s="11"/>
      <c r="J176" s="12" t="s">
        <v>439</v>
      </c>
      <c r="K176" s="12" t="s">
        <v>439</v>
      </c>
      <c r="L176" s="13"/>
      <c r="M176" s="13"/>
      <c r="N176" s="11" t="str">
        <f aca="false">IF(AND(L176&lt;&gt;"",M176&lt;&gt;""),"yes",IF(OR(L176&lt;&gt;"",M176&lt;&gt;""),"partial","no"))</f>
        <v>no</v>
      </c>
    </row>
    <row r="177" customFormat="false" ht="15" hidden="false" customHeight="true" outlineLevel="0" collapsed="false">
      <c r="A177" s="11" t="s">
        <v>9</v>
      </c>
      <c r="B177" s="11" t="s">
        <v>677</v>
      </c>
      <c r="C177" s="11" t="s">
        <v>678</v>
      </c>
      <c r="D177" s="11" t="s">
        <v>668</v>
      </c>
      <c r="E177" s="11" t="s">
        <v>435</v>
      </c>
      <c r="F177" s="11" t="s">
        <v>478</v>
      </c>
      <c r="G177" s="11" t="s">
        <v>437</v>
      </c>
      <c r="H177" s="11" t="s">
        <v>438</v>
      </c>
      <c r="I177" s="11"/>
      <c r="J177" s="12" t="s">
        <v>439</v>
      </c>
      <c r="K177" s="12" t="s">
        <v>439</v>
      </c>
      <c r="L177" s="13"/>
      <c r="M177" s="13"/>
      <c r="N177" s="11" t="str">
        <f aca="false">IF(AND(L177&lt;&gt;"",M177&lt;&gt;""),"yes",IF(OR(L177&lt;&gt;"",M177&lt;&gt;""),"partial","no"))</f>
        <v>no</v>
      </c>
    </row>
    <row r="178" customFormat="false" ht="15" hidden="false" customHeight="true" outlineLevel="0" collapsed="false">
      <c r="A178" s="11" t="s">
        <v>9</v>
      </c>
      <c r="B178" s="11" t="s">
        <v>679</v>
      </c>
      <c r="C178" s="11" t="s">
        <v>680</v>
      </c>
      <c r="D178" s="11" t="s">
        <v>668</v>
      </c>
      <c r="E178" s="11" t="s">
        <v>435</v>
      </c>
      <c r="F178" s="11" t="s">
        <v>478</v>
      </c>
      <c r="G178" s="11" t="s">
        <v>437</v>
      </c>
      <c r="H178" s="11" t="s">
        <v>438</v>
      </c>
      <c r="I178" s="11"/>
      <c r="J178" s="12" t="s">
        <v>439</v>
      </c>
      <c r="K178" s="12" t="s">
        <v>439</v>
      </c>
      <c r="L178" s="13"/>
      <c r="M178" s="13"/>
      <c r="N178" s="11" t="str">
        <f aca="false">IF(AND(L178&lt;&gt;"",M178&lt;&gt;""),"yes",IF(OR(L178&lt;&gt;"",M178&lt;&gt;""),"partial","no"))</f>
        <v>no</v>
      </c>
    </row>
    <row r="179" customFormat="false" ht="15" hidden="false" customHeight="true" outlineLevel="0" collapsed="false">
      <c r="A179" s="11" t="s">
        <v>9</v>
      </c>
      <c r="B179" s="11" t="s">
        <v>681</v>
      </c>
      <c r="C179" s="11" t="s">
        <v>682</v>
      </c>
      <c r="D179" s="11" t="s">
        <v>668</v>
      </c>
      <c r="E179" s="11" t="s">
        <v>435</v>
      </c>
      <c r="F179" s="11" t="s">
        <v>478</v>
      </c>
      <c r="G179" s="11" t="s">
        <v>437</v>
      </c>
      <c r="H179" s="11" t="s">
        <v>438</v>
      </c>
      <c r="I179" s="11"/>
      <c r="J179" s="12" t="s">
        <v>439</v>
      </c>
      <c r="K179" s="12" t="s">
        <v>439</v>
      </c>
      <c r="L179" s="13"/>
      <c r="M179" s="13"/>
      <c r="N179" s="11" t="str">
        <f aca="false">IF(AND(L179&lt;&gt;"",M179&lt;&gt;""),"yes",IF(OR(L179&lt;&gt;"",M179&lt;&gt;""),"partial","no"))</f>
        <v>no</v>
      </c>
    </row>
    <row r="180" customFormat="false" ht="15" hidden="false" customHeight="true" outlineLevel="0" collapsed="false">
      <c r="A180" s="11" t="s">
        <v>9</v>
      </c>
      <c r="B180" s="11" t="s">
        <v>683</v>
      </c>
      <c r="C180" s="11" t="s">
        <v>684</v>
      </c>
      <c r="D180" s="11" t="s">
        <v>668</v>
      </c>
      <c r="E180" s="11" t="s">
        <v>435</v>
      </c>
      <c r="F180" s="11" t="s">
        <v>478</v>
      </c>
      <c r="G180" s="11" t="s">
        <v>437</v>
      </c>
      <c r="H180" s="11" t="s">
        <v>438</v>
      </c>
      <c r="I180" s="11"/>
      <c r="J180" s="12" t="s">
        <v>439</v>
      </c>
      <c r="K180" s="12" t="s">
        <v>439</v>
      </c>
      <c r="L180" s="13"/>
      <c r="M180" s="13"/>
      <c r="N180" s="11" t="str">
        <f aca="false">IF(AND(L180&lt;&gt;"",M180&lt;&gt;""),"yes",IF(OR(L180&lt;&gt;"",M180&lt;&gt;""),"partial","no"))</f>
        <v>no</v>
      </c>
    </row>
    <row r="181" customFormat="false" ht="15" hidden="false" customHeight="true" outlineLevel="0" collapsed="false">
      <c r="A181" s="11" t="s">
        <v>9</v>
      </c>
      <c r="B181" s="11" t="s">
        <v>685</v>
      </c>
      <c r="C181" s="11" t="s">
        <v>686</v>
      </c>
      <c r="D181" s="11" t="s">
        <v>469</v>
      </c>
      <c r="E181" s="11" t="s">
        <v>435</v>
      </c>
      <c r="F181" s="11" t="s">
        <v>478</v>
      </c>
      <c r="G181" s="11" t="s">
        <v>437</v>
      </c>
      <c r="H181" s="11" t="s">
        <v>438</v>
      </c>
      <c r="I181" s="11"/>
      <c r="J181" s="12" t="s">
        <v>439</v>
      </c>
      <c r="K181" s="12" t="s">
        <v>439</v>
      </c>
      <c r="L181" s="13"/>
      <c r="M181" s="13"/>
      <c r="N181" s="11" t="str">
        <f aca="false">IF(AND(L181&lt;&gt;"",M181&lt;&gt;""),"yes",IF(OR(L181&lt;&gt;"",M181&lt;&gt;""),"partial","no"))</f>
        <v>no</v>
      </c>
    </row>
    <row r="182" customFormat="false" ht="15" hidden="false" customHeight="true" outlineLevel="0" collapsed="false">
      <c r="A182" s="11" t="s">
        <v>9</v>
      </c>
      <c r="B182" s="11" t="s">
        <v>685</v>
      </c>
      <c r="C182" s="11" t="s">
        <v>686</v>
      </c>
      <c r="D182" s="11" t="s">
        <v>469</v>
      </c>
      <c r="E182" s="11" t="s">
        <v>435</v>
      </c>
      <c r="F182" s="11" t="s">
        <v>478</v>
      </c>
      <c r="G182" s="11" t="s">
        <v>437</v>
      </c>
      <c r="H182" s="11" t="s">
        <v>438</v>
      </c>
      <c r="I182" s="11"/>
      <c r="J182" s="12" t="s">
        <v>439</v>
      </c>
      <c r="K182" s="12" t="s">
        <v>439</v>
      </c>
      <c r="L182" s="13"/>
      <c r="M182" s="13"/>
      <c r="N182" s="11" t="str">
        <f aca="false">IF(AND(L182&lt;&gt;"",M182&lt;&gt;""),"yes",IF(OR(L182&lt;&gt;"",M182&lt;&gt;""),"partial","no"))</f>
        <v>no</v>
      </c>
    </row>
    <row r="183" customFormat="false" ht="15" hidden="false" customHeight="true" outlineLevel="0" collapsed="false">
      <c r="A183" s="11" t="s">
        <v>9</v>
      </c>
      <c r="B183" s="11" t="s">
        <v>687</v>
      </c>
      <c r="C183" s="11" t="s">
        <v>688</v>
      </c>
      <c r="D183" s="11" t="s">
        <v>689</v>
      </c>
      <c r="E183" s="11" t="s">
        <v>435</v>
      </c>
      <c r="F183" s="11" t="s">
        <v>478</v>
      </c>
      <c r="G183" s="11" t="s">
        <v>437</v>
      </c>
      <c r="H183" s="11" t="s">
        <v>438</v>
      </c>
      <c r="I183" s="11"/>
      <c r="J183" s="12" t="s">
        <v>439</v>
      </c>
      <c r="K183" s="12" t="s">
        <v>439</v>
      </c>
      <c r="L183" s="13"/>
      <c r="M183" s="13"/>
      <c r="N183" s="11" t="str">
        <f aca="false">IF(AND(L183&lt;&gt;"",M183&lt;&gt;""),"yes",IF(OR(L183&lt;&gt;"",M183&lt;&gt;""),"partial","no"))</f>
        <v>no</v>
      </c>
    </row>
    <row r="184" customFormat="false" ht="15" hidden="false" customHeight="true" outlineLevel="0" collapsed="false">
      <c r="A184" s="11" t="s">
        <v>9</v>
      </c>
      <c r="B184" s="11" t="s">
        <v>690</v>
      </c>
      <c r="C184" s="11" t="s">
        <v>691</v>
      </c>
      <c r="D184" s="11" t="s">
        <v>689</v>
      </c>
      <c r="E184" s="11" t="s">
        <v>435</v>
      </c>
      <c r="F184" s="11" t="s">
        <v>478</v>
      </c>
      <c r="G184" s="11" t="s">
        <v>437</v>
      </c>
      <c r="H184" s="11" t="s">
        <v>438</v>
      </c>
      <c r="I184" s="11"/>
      <c r="J184" s="12" t="s">
        <v>439</v>
      </c>
      <c r="K184" s="12" t="s">
        <v>439</v>
      </c>
      <c r="L184" s="13"/>
      <c r="M184" s="13"/>
      <c r="N184" s="11" t="str">
        <f aca="false">IF(AND(L184&lt;&gt;"",M184&lt;&gt;""),"yes",IF(OR(L184&lt;&gt;"",M184&lt;&gt;""),"partial","no"))</f>
        <v>no</v>
      </c>
    </row>
    <row r="185" customFormat="false" ht="15" hidden="false" customHeight="true" outlineLevel="0" collapsed="false">
      <c r="A185" s="11" t="s">
        <v>9</v>
      </c>
      <c r="B185" s="11" t="s">
        <v>692</v>
      </c>
      <c r="C185" s="11" t="s">
        <v>693</v>
      </c>
      <c r="D185" s="11" t="s">
        <v>689</v>
      </c>
      <c r="E185" s="11" t="s">
        <v>435</v>
      </c>
      <c r="F185" s="11" t="s">
        <v>478</v>
      </c>
      <c r="G185" s="11" t="s">
        <v>437</v>
      </c>
      <c r="H185" s="11" t="s">
        <v>438</v>
      </c>
      <c r="I185" s="11"/>
      <c r="J185" s="12" t="s">
        <v>439</v>
      </c>
      <c r="K185" s="12" t="s">
        <v>439</v>
      </c>
      <c r="L185" s="13"/>
      <c r="M185" s="13"/>
      <c r="N185" s="11" t="str">
        <f aca="false">IF(AND(L185&lt;&gt;"",M185&lt;&gt;""),"yes",IF(OR(L185&lt;&gt;"",M185&lt;&gt;""),"partial","no"))</f>
        <v>no</v>
      </c>
    </row>
    <row r="186" customFormat="false" ht="15" hidden="false" customHeight="true" outlineLevel="0" collapsed="false">
      <c r="A186" s="11" t="s">
        <v>9</v>
      </c>
      <c r="B186" s="11" t="s">
        <v>690</v>
      </c>
      <c r="C186" s="11" t="s">
        <v>691</v>
      </c>
      <c r="D186" s="11" t="s">
        <v>689</v>
      </c>
      <c r="E186" s="11" t="s">
        <v>435</v>
      </c>
      <c r="F186" s="11" t="s">
        <v>478</v>
      </c>
      <c r="G186" s="11" t="s">
        <v>437</v>
      </c>
      <c r="H186" s="11" t="s">
        <v>438</v>
      </c>
      <c r="I186" s="11"/>
      <c r="J186" s="12" t="s">
        <v>439</v>
      </c>
      <c r="K186" s="12" t="s">
        <v>439</v>
      </c>
      <c r="L186" s="13"/>
      <c r="M186" s="13"/>
      <c r="N186" s="11" t="str">
        <f aca="false">IF(AND(L186&lt;&gt;"",M186&lt;&gt;""),"yes",IF(OR(L186&lt;&gt;"",M186&lt;&gt;""),"partial","no"))</f>
        <v>no</v>
      </c>
    </row>
    <row r="187" customFormat="false" ht="15" hidden="false" customHeight="true" outlineLevel="0" collapsed="false">
      <c r="A187" s="11" t="s">
        <v>9</v>
      </c>
      <c r="B187" s="11" t="s">
        <v>692</v>
      </c>
      <c r="C187" s="11" t="s">
        <v>693</v>
      </c>
      <c r="D187" s="11" t="s">
        <v>689</v>
      </c>
      <c r="E187" s="11" t="s">
        <v>435</v>
      </c>
      <c r="F187" s="11" t="s">
        <v>478</v>
      </c>
      <c r="G187" s="11" t="s">
        <v>437</v>
      </c>
      <c r="H187" s="11" t="s">
        <v>438</v>
      </c>
      <c r="I187" s="11"/>
      <c r="J187" s="12" t="s">
        <v>439</v>
      </c>
      <c r="K187" s="12" t="s">
        <v>439</v>
      </c>
      <c r="L187" s="13"/>
      <c r="M187" s="13"/>
      <c r="N187" s="11" t="str">
        <f aca="false">IF(AND(L187&lt;&gt;"",M187&lt;&gt;""),"yes",IF(OR(L187&lt;&gt;"",M187&lt;&gt;""),"partial","no"))</f>
        <v>no</v>
      </c>
    </row>
    <row r="188" customFormat="false" ht="15" hidden="false" customHeight="true" outlineLevel="0" collapsed="false">
      <c r="A188" s="11" t="s">
        <v>9</v>
      </c>
      <c r="B188" s="11" t="s">
        <v>694</v>
      </c>
      <c r="C188" s="11" t="s">
        <v>695</v>
      </c>
      <c r="D188" s="11" t="s">
        <v>470</v>
      </c>
      <c r="E188" s="11" t="s">
        <v>435</v>
      </c>
      <c r="F188" s="11" t="s">
        <v>478</v>
      </c>
      <c r="G188" s="11" t="s">
        <v>437</v>
      </c>
      <c r="H188" s="11" t="s">
        <v>438</v>
      </c>
      <c r="I188" s="11"/>
      <c r="J188" s="12" t="s">
        <v>439</v>
      </c>
      <c r="K188" s="12" t="s">
        <v>439</v>
      </c>
      <c r="L188" s="13"/>
      <c r="M188" s="13"/>
      <c r="N188" s="11" t="str">
        <f aca="false">IF(AND(L188&lt;&gt;"",M188&lt;&gt;""),"yes",IF(OR(L188&lt;&gt;"",M188&lt;&gt;""),"partial","no"))</f>
        <v>no</v>
      </c>
    </row>
    <row r="189" customFormat="false" ht="15" hidden="false" customHeight="true" outlineLevel="0" collapsed="false">
      <c r="A189" s="11" t="s">
        <v>9</v>
      </c>
      <c r="B189" s="11" t="s">
        <v>696</v>
      </c>
      <c r="C189" s="11" t="s">
        <v>697</v>
      </c>
      <c r="D189" s="11" t="s">
        <v>470</v>
      </c>
      <c r="E189" s="11" t="s">
        <v>435</v>
      </c>
      <c r="F189" s="11" t="s">
        <v>478</v>
      </c>
      <c r="G189" s="11" t="s">
        <v>437</v>
      </c>
      <c r="H189" s="11" t="s">
        <v>438</v>
      </c>
      <c r="I189" s="11"/>
      <c r="J189" s="12" t="s">
        <v>439</v>
      </c>
      <c r="K189" s="12" t="s">
        <v>439</v>
      </c>
      <c r="L189" s="13"/>
      <c r="M189" s="13"/>
      <c r="N189" s="11" t="str">
        <f aca="false">IF(AND(L189&lt;&gt;"",M189&lt;&gt;""),"yes",IF(OR(L189&lt;&gt;"",M189&lt;&gt;""),"partial","no"))</f>
        <v>no</v>
      </c>
    </row>
    <row r="190" customFormat="false" ht="15" hidden="false" customHeight="true" outlineLevel="0" collapsed="false">
      <c r="A190" s="11" t="s">
        <v>9</v>
      </c>
      <c r="B190" s="11" t="s">
        <v>694</v>
      </c>
      <c r="C190" s="11" t="s">
        <v>695</v>
      </c>
      <c r="D190" s="11" t="s">
        <v>470</v>
      </c>
      <c r="E190" s="11" t="s">
        <v>435</v>
      </c>
      <c r="F190" s="11" t="s">
        <v>478</v>
      </c>
      <c r="G190" s="11" t="s">
        <v>437</v>
      </c>
      <c r="H190" s="11" t="s">
        <v>438</v>
      </c>
      <c r="I190" s="11"/>
      <c r="J190" s="12" t="s">
        <v>439</v>
      </c>
      <c r="K190" s="12" t="s">
        <v>439</v>
      </c>
      <c r="L190" s="13"/>
      <c r="M190" s="13"/>
      <c r="N190" s="11" t="str">
        <f aca="false">IF(AND(L190&lt;&gt;"",M190&lt;&gt;""),"yes",IF(OR(L190&lt;&gt;"",M190&lt;&gt;""),"partial","no"))</f>
        <v>no</v>
      </c>
    </row>
    <row r="191" customFormat="false" ht="15" hidden="false" customHeight="true" outlineLevel="0" collapsed="false">
      <c r="A191" s="11" t="s">
        <v>9</v>
      </c>
      <c r="B191" s="11" t="s">
        <v>696</v>
      </c>
      <c r="C191" s="11" t="s">
        <v>697</v>
      </c>
      <c r="D191" s="11" t="s">
        <v>470</v>
      </c>
      <c r="E191" s="11" t="s">
        <v>435</v>
      </c>
      <c r="F191" s="11" t="s">
        <v>478</v>
      </c>
      <c r="G191" s="11" t="s">
        <v>437</v>
      </c>
      <c r="H191" s="11" t="s">
        <v>438</v>
      </c>
      <c r="I191" s="11"/>
      <c r="J191" s="12" t="s">
        <v>439</v>
      </c>
      <c r="K191" s="12" t="s">
        <v>439</v>
      </c>
      <c r="L191" s="13"/>
      <c r="M191" s="13"/>
      <c r="N191" s="11" t="str">
        <f aca="false">IF(AND(L191&lt;&gt;"",M191&lt;&gt;""),"yes",IF(OR(L191&lt;&gt;"",M191&lt;&gt;""),"partial","no"))</f>
        <v>no</v>
      </c>
    </row>
    <row r="192" customFormat="false" ht="15" hidden="false" customHeight="true" outlineLevel="0" collapsed="false">
      <c r="A192" s="11" t="s">
        <v>9</v>
      </c>
      <c r="B192" s="11" t="s">
        <v>698</v>
      </c>
      <c r="C192" s="11" t="s">
        <v>699</v>
      </c>
      <c r="D192" s="11" t="s">
        <v>700</v>
      </c>
      <c r="E192" s="11" t="s">
        <v>435</v>
      </c>
      <c r="F192" s="11" t="s">
        <v>478</v>
      </c>
      <c r="G192" s="11" t="s">
        <v>437</v>
      </c>
      <c r="H192" s="11" t="s">
        <v>438</v>
      </c>
      <c r="I192" s="11"/>
      <c r="J192" s="12" t="s">
        <v>439</v>
      </c>
      <c r="K192" s="12" t="s">
        <v>439</v>
      </c>
      <c r="L192" s="13"/>
      <c r="M192" s="13"/>
      <c r="N192" s="11" t="str">
        <f aca="false">IF(AND(L192&lt;&gt;"",M192&lt;&gt;""),"yes",IF(OR(L192&lt;&gt;"",M192&lt;&gt;""),"partial","no"))</f>
        <v>no</v>
      </c>
    </row>
    <row r="193" customFormat="false" ht="15" hidden="false" customHeight="true" outlineLevel="0" collapsed="false">
      <c r="A193" s="11" t="s">
        <v>9</v>
      </c>
      <c r="B193" s="11" t="s">
        <v>701</v>
      </c>
      <c r="C193" s="11" t="s">
        <v>702</v>
      </c>
      <c r="D193" s="11" t="s">
        <v>472</v>
      </c>
      <c r="E193" s="11" t="s">
        <v>435</v>
      </c>
      <c r="F193" s="11" t="s">
        <v>478</v>
      </c>
      <c r="G193" s="11" t="s">
        <v>437</v>
      </c>
      <c r="H193" s="11" t="s">
        <v>438</v>
      </c>
      <c r="I193" s="11"/>
      <c r="J193" s="12" t="s">
        <v>439</v>
      </c>
      <c r="K193" s="12" t="s">
        <v>439</v>
      </c>
      <c r="L193" s="13"/>
      <c r="M193" s="13"/>
      <c r="N193" s="11" t="str">
        <f aca="false">IF(AND(L193&lt;&gt;"",M193&lt;&gt;""),"yes",IF(OR(L193&lt;&gt;"",M193&lt;&gt;""),"partial","no"))</f>
        <v>no</v>
      </c>
    </row>
    <row r="194" customFormat="false" ht="15" hidden="false" customHeight="true" outlineLevel="0" collapsed="false">
      <c r="A194" s="11" t="s">
        <v>9</v>
      </c>
      <c r="B194" s="11" t="s">
        <v>703</v>
      </c>
      <c r="C194" s="11" t="s">
        <v>704</v>
      </c>
      <c r="D194" s="11" t="s">
        <v>472</v>
      </c>
      <c r="E194" s="11" t="s">
        <v>435</v>
      </c>
      <c r="F194" s="11" t="s">
        <v>478</v>
      </c>
      <c r="G194" s="11" t="s">
        <v>437</v>
      </c>
      <c r="H194" s="11" t="s">
        <v>438</v>
      </c>
      <c r="I194" s="11"/>
      <c r="J194" s="12" t="s">
        <v>439</v>
      </c>
      <c r="K194" s="12" t="s">
        <v>439</v>
      </c>
      <c r="L194" s="13"/>
      <c r="M194" s="13"/>
      <c r="N194" s="11" t="str">
        <f aca="false">IF(AND(L194&lt;&gt;"",M194&lt;&gt;""),"yes",IF(OR(L194&lt;&gt;"",M194&lt;&gt;""),"partial","no"))</f>
        <v>no</v>
      </c>
    </row>
    <row r="195" customFormat="false" ht="15" hidden="false" customHeight="true" outlineLevel="0" collapsed="false">
      <c r="A195" s="11" t="s">
        <v>9</v>
      </c>
      <c r="B195" s="11" t="s">
        <v>705</v>
      </c>
      <c r="C195" s="11" t="s">
        <v>706</v>
      </c>
      <c r="D195" s="11" t="s">
        <v>707</v>
      </c>
      <c r="E195" s="11" t="s">
        <v>435</v>
      </c>
      <c r="F195" s="11" t="s">
        <v>478</v>
      </c>
      <c r="G195" s="11" t="s">
        <v>437</v>
      </c>
      <c r="H195" s="11" t="s">
        <v>438</v>
      </c>
      <c r="I195" s="11"/>
      <c r="J195" s="12" t="s">
        <v>439</v>
      </c>
      <c r="K195" s="12" t="s">
        <v>439</v>
      </c>
      <c r="L195" s="13"/>
      <c r="M195" s="13"/>
      <c r="N195" s="11" t="str">
        <f aca="false">IF(AND(L195&lt;&gt;"",M195&lt;&gt;""),"yes",IF(OR(L195&lt;&gt;"",M195&lt;&gt;""),"partial","no"))</f>
        <v>no</v>
      </c>
    </row>
    <row r="196" customFormat="false" ht="15" hidden="false" customHeight="true" outlineLevel="0" collapsed="false">
      <c r="A196" s="11" t="s">
        <v>9</v>
      </c>
      <c r="B196" s="11" t="s">
        <v>708</v>
      </c>
      <c r="C196" s="11" t="s">
        <v>709</v>
      </c>
      <c r="D196" s="11" t="s">
        <v>710</v>
      </c>
      <c r="E196" s="11" t="s">
        <v>435</v>
      </c>
      <c r="F196" s="11" t="s">
        <v>478</v>
      </c>
      <c r="G196" s="11" t="s">
        <v>437</v>
      </c>
      <c r="H196" s="11" t="s">
        <v>438</v>
      </c>
      <c r="I196" s="11"/>
      <c r="J196" s="12" t="s">
        <v>439</v>
      </c>
      <c r="K196" s="12" t="s">
        <v>439</v>
      </c>
      <c r="L196" s="13"/>
      <c r="M196" s="13"/>
      <c r="N196" s="11" t="str">
        <f aca="false">IF(AND(L196&lt;&gt;"",M196&lt;&gt;""),"yes",IF(OR(L196&lt;&gt;"",M196&lt;&gt;""),"partial","no"))</f>
        <v>no</v>
      </c>
    </row>
    <row r="197" customFormat="false" ht="15" hidden="false" customHeight="true" outlineLevel="0" collapsed="false">
      <c r="A197" s="11" t="s">
        <v>9</v>
      </c>
      <c r="B197" s="11" t="s">
        <v>711</v>
      </c>
      <c r="C197" s="11" t="s">
        <v>712</v>
      </c>
      <c r="D197" s="11" t="s">
        <v>710</v>
      </c>
      <c r="E197" s="11" t="s">
        <v>435</v>
      </c>
      <c r="F197" s="11" t="s">
        <v>478</v>
      </c>
      <c r="G197" s="11" t="s">
        <v>437</v>
      </c>
      <c r="H197" s="11" t="s">
        <v>438</v>
      </c>
      <c r="I197" s="11"/>
      <c r="J197" s="12" t="s">
        <v>439</v>
      </c>
      <c r="K197" s="12" t="s">
        <v>439</v>
      </c>
      <c r="L197" s="13"/>
      <c r="M197" s="13"/>
      <c r="N197" s="11" t="str">
        <f aca="false">IF(AND(L197&lt;&gt;"",M197&lt;&gt;""),"yes",IF(OR(L197&lt;&gt;"",M197&lt;&gt;""),"partial","no"))</f>
        <v>no</v>
      </c>
    </row>
    <row r="198" customFormat="false" ht="15" hidden="false" customHeight="true" outlineLevel="0" collapsed="false">
      <c r="A198" s="11" t="s">
        <v>9</v>
      </c>
      <c r="B198" s="11" t="s">
        <v>713</v>
      </c>
      <c r="C198" s="11" t="s">
        <v>714</v>
      </c>
      <c r="D198" s="11" t="s">
        <v>715</v>
      </c>
      <c r="E198" s="11" t="s">
        <v>435</v>
      </c>
      <c r="F198" s="11" t="s">
        <v>478</v>
      </c>
      <c r="G198" s="11" t="s">
        <v>437</v>
      </c>
      <c r="H198" s="11" t="s">
        <v>438</v>
      </c>
      <c r="I198" s="11"/>
      <c r="J198" s="12" t="s">
        <v>439</v>
      </c>
      <c r="K198" s="12" t="s">
        <v>439</v>
      </c>
      <c r="L198" s="13"/>
      <c r="M198" s="13"/>
      <c r="N198" s="11" t="str">
        <f aca="false">IF(AND(L198&lt;&gt;"",M198&lt;&gt;""),"yes",IF(OR(L198&lt;&gt;"",M198&lt;&gt;""),"partial","no"))</f>
        <v>no</v>
      </c>
    </row>
    <row r="199" customFormat="false" ht="15" hidden="false" customHeight="true" outlineLevel="0" collapsed="false">
      <c r="A199" s="11" t="s">
        <v>9</v>
      </c>
      <c r="B199" s="11" t="s">
        <v>716</v>
      </c>
      <c r="C199" s="11" t="s">
        <v>717</v>
      </c>
      <c r="D199" s="11" t="s">
        <v>715</v>
      </c>
      <c r="E199" s="11" t="s">
        <v>435</v>
      </c>
      <c r="F199" s="11" t="s">
        <v>478</v>
      </c>
      <c r="G199" s="11" t="s">
        <v>437</v>
      </c>
      <c r="H199" s="11" t="s">
        <v>438</v>
      </c>
      <c r="I199" s="11"/>
      <c r="J199" s="12" t="s">
        <v>439</v>
      </c>
      <c r="K199" s="12" t="s">
        <v>439</v>
      </c>
      <c r="L199" s="13"/>
      <c r="M199" s="13"/>
      <c r="N199" s="11" t="str">
        <f aca="false">IF(AND(L199&lt;&gt;"",M199&lt;&gt;""),"yes",IF(OR(L199&lt;&gt;"",M199&lt;&gt;""),"partial","no"))</f>
        <v>no</v>
      </c>
    </row>
    <row r="200" customFormat="false" ht="15" hidden="false" customHeight="true" outlineLevel="0" collapsed="false">
      <c r="A200" s="11" t="s">
        <v>9</v>
      </c>
      <c r="B200" s="11" t="s">
        <v>718</v>
      </c>
      <c r="C200" s="11" t="s">
        <v>719</v>
      </c>
      <c r="D200" s="11" t="s">
        <v>720</v>
      </c>
      <c r="E200" s="11" t="s">
        <v>435</v>
      </c>
      <c r="F200" s="11" t="s">
        <v>478</v>
      </c>
      <c r="G200" s="11" t="s">
        <v>437</v>
      </c>
      <c r="H200" s="11" t="s">
        <v>438</v>
      </c>
      <c r="I200" s="11"/>
      <c r="J200" s="12" t="s">
        <v>439</v>
      </c>
      <c r="K200" s="12" t="s">
        <v>439</v>
      </c>
      <c r="L200" s="13"/>
      <c r="M200" s="13"/>
      <c r="N200" s="11" t="str">
        <f aca="false">IF(AND(L200&lt;&gt;"",M200&lt;&gt;""),"yes",IF(OR(L200&lt;&gt;"",M200&lt;&gt;""),"partial","no"))</f>
        <v>no</v>
      </c>
    </row>
    <row r="201" customFormat="false" ht="15" hidden="false" customHeight="true" outlineLevel="0" collapsed="false">
      <c r="A201" s="11" t="s">
        <v>9</v>
      </c>
      <c r="B201" s="11" t="s">
        <v>721</v>
      </c>
      <c r="C201" s="11" t="s">
        <v>722</v>
      </c>
      <c r="D201" s="11" t="s">
        <v>720</v>
      </c>
      <c r="E201" s="11" t="s">
        <v>435</v>
      </c>
      <c r="F201" s="11" t="s">
        <v>478</v>
      </c>
      <c r="G201" s="11" t="s">
        <v>437</v>
      </c>
      <c r="H201" s="11" t="s">
        <v>438</v>
      </c>
      <c r="I201" s="11"/>
      <c r="J201" s="12" t="s">
        <v>439</v>
      </c>
      <c r="K201" s="12" t="s">
        <v>439</v>
      </c>
      <c r="L201" s="13"/>
      <c r="M201" s="13"/>
      <c r="N201" s="11" t="str">
        <f aca="false">IF(AND(L201&lt;&gt;"",M201&lt;&gt;""),"yes",IF(OR(L201&lt;&gt;"",M201&lt;&gt;""),"partial","no"))</f>
        <v>no</v>
      </c>
    </row>
    <row r="202" customFormat="false" ht="15" hidden="false" customHeight="true" outlineLevel="0" collapsed="false">
      <c r="A202" s="11" t="s">
        <v>9</v>
      </c>
      <c r="B202" s="11" t="s">
        <v>723</v>
      </c>
      <c r="C202" s="11" t="s">
        <v>724</v>
      </c>
      <c r="D202" s="11" t="s">
        <v>725</v>
      </c>
      <c r="E202" s="11" t="s">
        <v>435</v>
      </c>
      <c r="F202" s="11" t="s">
        <v>478</v>
      </c>
      <c r="G202" s="11" t="s">
        <v>437</v>
      </c>
      <c r="H202" s="11" t="s">
        <v>438</v>
      </c>
      <c r="I202" s="11"/>
      <c r="J202" s="12" t="s">
        <v>439</v>
      </c>
      <c r="K202" s="12" t="s">
        <v>439</v>
      </c>
      <c r="L202" s="13"/>
      <c r="M202" s="13"/>
      <c r="N202" s="11" t="str">
        <f aca="false">IF(AND(L202&lt;&gt;"",M202&lt;&gt;""),"yes",IF(OR(L202&lt;&gt;"",M202&lt;&gt;""),"partial","no"))</f>
        <v>no</v>
      </c>
    </row>
    <row r="203" customFormat="false" ht="15" hidden="false" customHeight="true" outlineLevel="0" collapsed="false">
      <c r="A203" s="11" t="s">
        <v>9</v>
      </c>
      <c r="B203" s="11" t="s">
        <v>726</v>
      </c>
      <c r="C203" s="11" t="s">
        <v>727</v>
      </c>
      <c r="D203" s="11" t="s">
        <v>728</v>
      </c>
      <c r="E203" s="11" t="s">
        <v>435</v>
      </c>
      <c r="F203" s="11" t="s">
        <v>478</v>
      </c>
      <c r="G203" s="11" t="s">
        <v>437</v>
      </c>
      <c r="H203" s="11" t="s">
        <v>438</v>
      </c>
      <c r="I203" s="11"/>
      <c r="J203" s="12" t="s">
        <v>439</v>
      </c>
      <c r="K203" s="12" t="s">
        <v>439</v>
      </c>
      <c r="L203" s="13"/>
      <c r="M203" s="13"/>
      <c r="N203" s="11" t="str">
        <f aca="false">IF(AND(L203&lt;&gt;"",M203&lt;&gt;""),"yes",IF(OR(L203&lt;&gt;"",M203&lt;&gt;""),"partial","no"))</f>
        <v>no</v>
      </c>
    </row>
    <row r="204" customFormat="false" ht="15" hidden="false" customHeight="true" outlineLevel="0" collapsed="false">
      <c r="A204" s="11" t="s">
        <v>9</v>
      </c>
      <c r="B204" s="11" t="s">
        <v>729</v>
      </c>
      <c r="C204" s="11" t="s">
        <v>730</v>
      </c>
      <c r="D204" s="11" t="s">
        <v>731</v>
      </c>
      <c r="E204" s="11" t="s">
        <v>435</v>
      </c>
      <c r="F204" s="11" t="s">
        <v>478</v>
      </c>
      <c r="G204" s="11" t="s">
        <v>437</v>
      </c>
      <c r="H204" s="11" t="s">
        <v>438</v>
      </c>
      <c r="I204" s="11"/>
      <c r="J204" s="12" t="s">
        <v>439</v>
      </c>
      <c r="K204" s="12" t="s">
        <v>439</v>
      </c>
      <c r="L204" s="13"/>
      <c r="M204" s="13"/>
      <c r="N204" s="11" t="str">
        <f aca="false">IF(AND(L204&lt;&gt;"",M204&lt;&gt;""),"yes",IF(OR(L204&lt;&gt;"",M204&lt;&gt;""),"partial","no"))</f>
        <v>no</v>
      </c>
    </row>
    <row r="205" customFormat="false" ht="15" hidden="false" customHeight="true" outlineLevel="0" collapsed="false">
      <c r="A205" s="11" t="s">
        <v>9</v>
      </c>
      <c r="B205" s="11" t="s">
        <v>732</v>
      </c>
      <c r="C205" s="11" t="s">
        <v>733</v>
      </c>
      <c r="D205" s="11" t="s">
        <v>731</v>
      </c>
      <c r="E205" s="11" t="s">
        <v>435</v>
      </c>
      <c r="F205" s="11" t="s">
        <v>478</v>
      </c>
      <c r="G205" s="11" t="s">
        <v>437</v>
      </c>
      <c r="H205" s="11" t="s">
        <v>438</v>
      </c>
      <c r="I205" s="11"/>
      <c r="J205" s="12" t="s">
        <v>439</v>
      </c>
      <c r="K205" s="12" t="s">
        <v>439</v>
      </c>
      <c r="L205" s="13"/>
      <c r="M205" s="13"/>
      <c r="N205" s="11" t="str">
        <f aca="false">IF(AND(L205&lt;&gt;"",M205&lt;&gt;""),"yes",IF(OR(L205&lt;&gt;"",M205&lt;&gt;""),"partial","no"))</f>
        <v>no</v>
      </c>
    </row>
    <row r="206" customFormat="false" ht="15" hidden="false" customHeight="true" outlineLevel="0" collapsed="false">
      <c r="A206" s="11" t="s">
        <v>9</v>
      </c>
      <c r="B206" s="11" t="s">
        <v>734</v>
      </c>
      <c r="C206" s="11" t="s">
        <v>735</v>
      </c>
      <c r="D206" s="11" t="s">
        <v>731</v>
      </c>
      <c r="E206" s="11" t="s">
        <v>435</v>
      </c>
      <c r="F206" s="11" t="s">
        <v>478</v>
      </c>
      <c r="G206" s="11" t="s">
        <v>437</v>
      </c>
      <c r="H206" s="11" t="s">
        <v>438</v>
      </c>
      <c r="I206" s="11"/>
      <c r="J206" s="12" t="s">
        <v>439</v>
      </c>
      <c r="K206" s="12" t="s">
        <v>439</v>
      </c>
      <c r="L206" s="13"/>
      <c r="M206" s="13"/>
      <c r="N206" s="11" t="str">
        <f aca="false">IF(AND(L206&lt;&gt;"",M206&lt;&gt;""),"yes",IF(OR(L206&lt;&gt;"",M206&lt;&gt;""),"partial","no"))</f>
        <v>no</v>
      </c>
    </row>
    <row r="207" customFormat="false" ht="15" hidden="false" customHeight="true" outlineLevel="0" collapsed="false">
      <c r="A207" s="11" t="s">
        <v>9</v>
      </c>
      <c r="B207" s="11" t="s">
        <v>736</v>
      </c>
      <c r="C207" s="11" t="s">
        <v>737</v>
      </c>
      <c r="D207" s="11" t="s">
        <v>473</v>
      </c>
      <c r="E207" s="11" t="s">
        <v>435</v>
      </c>
      <c r="F207" s="11" t="s">
        <v>478</v>
      </c>
      <c r="G207" s="11" t="s">
        <v>437</v>
      </c>
      <c r="H207" s="11" t="s">
        <v>438</v>
      </c>
      <c r="I207" s="11"/>
      <c r="J207" s="12" t="s">
        <v>439</v>
      </c>
      <c r="K207" s="12" t="s">
        <v>439</v>
      </c>
      <c r="L207" s="13"/>
      <c r="M207" s="13"/>
      <c r="N207" s="11" t="str">
        <f aca="false">IF(AND(L207&lt;&gt;"",M207&lt;&gt;""),"yes",IF(OR(L207&lt;&gt;"",M207&lt;&gt;""),"partial","no"))</f>
        <v>no</v>
      </c>
    </row>
    <row r="208" customFormat="false" ht="15" hidden="false" customHeight="true" outlineLevel="0" collapsed="false">
      <c r="A208" s="11" t="s">
        <v>9</v>
      </c>
      <c r="B208" s="11" t="s">
        <v>738</v>
      </c>
      <c r="C208" s="11" t="s">
        <v>739</v>
      </c>
      <c r="D208" s="11" t="s">
        <v>473</v>
      </c>
      <c r="E208" s="11" t="s">
        <v>435</v>
      </c>
      <c r="F208" s="11" t="s">
        <v>478</v>
      </c>
      <c r="G208" s="11" t="s">
        <v>437</v>
      </c>
      <c r="H208" s="11" t="s">
        <v>438</v>
      </c>
      <c r="I208" s="11"/>
      <c r="J208" s="12" t="s">
        <v>439</v>
      </c>
      <c r="K208" s="12" t="s">
        <v>439</v>
      </c>
      <c r="L208" s="13"/>
      <c r="M208" s="13"/>
      <c r="N208" s="11" t="str">
        <f aca="false">IF(AND(L208&lt;&gt;"",M208&lt;&gt;""),"yes",IF(OR(L208&lt;&gt;"",M208&lt;&gt;""),"partial","no"))</f>
        <v>no</v>
      </c>
    </row>
    <row r="209" customFormat="false" ht="15" hidden="false" customHeight="true" outlineLevel="0" collapsed="false">
      <c r="A209" s="11" t="s">
        <v>9</v>
      </c>
      <c r="B209" s="11" t="s">
        <v>740</v>
      </c>
      <c r="C209" s="11" t="s">
        <v>741</v>
      </c>
      <c r="D209" s="11" t="s">
        <v>473</v>
      </c>
      <c r="E209" s="11" t="s">
        <v>435</v>
      </c>
      <c r="F209" s="11" t="s">
        <v>478</v>
      </c>
      <c r="G209" s="11" t="s">
        <v>437</v>
      </c>
      <c r="H209" s="11" t="s">
        <v>438</v>
      </c>
      <c r="I209" s="11"/>
      <c r="J209" s="12" t="s">
        <v>439</v>
      </c>
      <c r="K209" s="12" t="s">
        <v>439</v>
      </c>
      <c r="L209" s="13"/>
      <c r="M209" s="13"/>
      <c r="N209" s="11" t="str">
        <f aca="false">IF(AND(L209&lt;&gt;"",M209&lt;&gt;""),"yes",IF(OR(L209&lt;&gt;"",M209&lt;&gt;""),"partial","no"))</f>
        <v>no</v>
      </c>
    </row>
    <row r="210" customFormat="false" ht="15" hidden="false" customHeight="true" outlineLevel="0" collapsed="false">
      <c r="A210" s="11" t="s">
        <v>9</v>
      </c>
      <c r="B210" s="11" t="s">
        <v>742</v>
      </c>
      <c r="C210" s="11" t="s">
        <v>743</v>
      </c>
      <c r="D210" s="11" t="s">
        <v>473</v>
      </c>
      <c r="E210" s="11" t="s">
        <v>435</v>
      </c>
      <c r="F210" s="11" t="s">
        <v>478</v>
      </c>
      <c r="G210" s="11" t="s">
        <v>437</v>
      </c>
      <c r="H210" s="11" t="s">
        <v>438</v>
      </c>
      <c r="I210" s="11"/>
      <c r="J210" s="12" t="s">
        <v>439</v>
      </c>
      <c r="K210" s="12" t="s">
        <v>439</v>
      </c>
      <c r="L210" s="13"/>
      <c r="M210" s="13"/>
      <c r="N210" s="11" t="str">
        <f aca="false">IF(AND(L210&lt;&gt;"",M210&lt;&gt;""),"yes",IF(OR(L210&lt;&gt;"",M210&lt;&gt;""),"partial","no"))</f>
        <v>no</v>
      </c>
    </row>
    <row r="211" customFormat="false" ht="15" hidden="false" customHeight="true" outlineLevel="0" collapsed="false">
      <c r="A211" s="11" t="s">
        <v>9</v>
      </c>
      <c r="B211" s="11" t="s">
        <v>744</v>
      </c>
      <c r="C211" s="11" t="s">
        <v>745</v>
      </c>
      <c r="D211" s="11" t="s">
        <v>473</v>
      </c>
      <c r="E211" s="11" t="s">
        <v>435</v>
      </c>
      <c r="F211" s="11" t="s">
        <v>478</v>
      </c>
      <c r="G211" s="11" t="s">
        <v>437</v>
      </c>
      <c r="H211" s="11" t="s">
        <v>438</v>
      </c>
      <c r="I211" s="11"/>
      <c r="J211" s="12" t="s">
        <v>439</v>
      </c>
      <c r="K211" s="12" t="s">
        <v>439</v>
      </c>
      <c r="L211" s="13"/>
      <c r="M211" s="13"/>
      <c r="N211" s="11" t="str">
        <f aca="false">IF(AND(L211&lt;&gt;"",M211&lt;&gt;""),"yes",IF(OR(L211&lt;&gt;"",M211&lt;&gt;""),"partial","no"))</f>
        <v>no</v>
      </c>
    </row>
    <row r="212" customFormat="false" ht="15" hidden="false" customHeight="true" outlineLevel="0" collapsed="false">
      <c r="A212" s="11" t="s">
        <v>9</v>
      </c>
      <c r="B212" s="11" t="s">
        <v>746</v>
      </c>
      <c r="C212" s="11" t="s">
        <v>747</v>
      </c>
      <c r="D212" s="11" t="s">
        <v>473</v>
      </c>
      <c r="E212" s="11" t="s">
        <v>435</v>
      </c>
      <c r="F212" s="11" t="s">
        <v>478</v>
      </c>
      <c r="G212" s="11" t="s">
        <v>437</v>
      </c>
      <c r="H212" s="11" t="s">
        <v>438</v>
      </c>
      <c r="I212" s="11"/>
      <c r="J212" s="12" t="s">
        <v>439</v>
      </c>
      <c r="K212" s="12" t="s">
        <v>439</v>
      </c>
      <c r="L212" s="13"/>
      <c r="M212" s="13"/>
      <c r="N212" s="11" t="str">
        <f aca="false">IF(AND(L212&lt;&gt;"",M212&lt;&gt;""),"yes",IF(OR(L212&lt;&gt;"",M212&lt;&gt;""),"partial","no"))</f>
        <v>no</v>
      </c>
    </row>
    <row r="213" customFormat="false" ht="15" hidden="false" customHeight="true" outlineLevel="0" collapsed="false">
      <c r="A213" s="11" t="s">
        <v>9</v>
      </c>
      <c r="B213" s="11" t="s">
        <v>748</v>
      </c>
      <c r="C213" s="11" t="s">
        <v>749</v>
      </c>
      <c r="D213" s="11" t="s">
        <v>750</v>
      </c>
      <c r="E213" s="11" t="s">
        <v>435</v>
      </c>
      <c r="F213" s="11" t="s">
        <v>478</v>
      </c>
      <c r="G213" s="11" t="s">
        <v>437</v>
      </c>
      <c r="H213" s="11" t="s">
        <v>438</v>
      </c>
      <c r="I213" s="11"/>
      <c r="J213" s="12" t="s">
        <v>439</v>
      </c>
      <c r="K213" s="12" t="s">
        <v>439</v>
      </c>
      <c r="L213" s="13"/>
      <c r="M213" s="13"/>
      <c r="N213" s="11" t="str">
        <f aca="false">IF(AND(L213&lt;&gt;"",M213&lt;&gt;""),"yes",IF(OR(L213&lt;&gt;"",M213&lt;&gt;""),"partial","no"))</f>
        <v>no</v>
      </c>
    </row>
    <row r="214" customFormat="false" ht="15" hidden="false" customHeight="true" outlineLevel="0" collapsed="false">
      <c r="A214" s="11" t="s">
        <v>9</v>
      </c>
      <c r="B214" s="11" t="s">
        <v>751</v>
      </c>
      <c r="C214" s="11" t="s">
        <v>752</v>
      </c>
      <c r="D214" s="11" t="s">
        <v>750</v>
      </c>
      <c r="E214" s="11" t="s">
        <v>435</v>
      </c>
      <c r="F214" s="11" t="s">
        <v>478</v>
      </c>
      <c r="G214" s="11" t="s">
        <v>437</v>
      </c>
      <c r="H214" s="11" t="s">
        <v>438</v>
      </c>
      <c r="I214" s="11"/>
      <c r="J214" s="12" t="s">
        <v>439</v>
      </c>
      <c r="K214" s="12" t="s">
        <v>439</v>
      </c>
      <c r="L214" s="13"/>
      <c r="M214" s="13"/>
      <c r="N214" s="11" t="str">
        <f aca="false">IF(AND(L214&lt;&gt;"",M214&lt;&gt;""),"yes",IF(OR(L214&lt;&gt;"",M214&lt;&gt;""),"partial","no"))</f>
        <v>no</v>
      </c>
    </row>
    <row r="215" customFormat="false" ht="15" hidden="false" customHeight="true" outlineLevel="0" collapsed="false">
      <c r="A215" s="11" t="s">
        <v>9</v>
      </c>
      <c r="B215" s="11" t="s">
        <v>753</v>
      </c>
      <c r="C215" s="11" t="s">
        <v>754</v>
      </c>
      <c r="D215" s="11" t="s">
        <v>441</v>
      </c>
      <c r="E215" s="11" t="s">
        <v>435</v>
      </c>
      <c r="F215" s="11" t="s">
        <v>478</v>
      </c>
      <c r="G215" s="11" t="s">
        <v>474</v>
      </c>
      <c r="H215" s="11" t="s">
        <v>438</v>
      </c>
      <c r="I215" s="11"/>
      <c r="J215" s="12" t="s">
        <v>439</v>
      </c>
      <c r="K215" s="12" t="s">
        <v>439</v>
      </c>
      <c r="L215" s="13" t="s">
        <v>755</v>
      </c>
      <c r="M215" s="13"/>
      <c r="N215" s="11" t="str">
        <f aca="false">IF(AND(L215&lt;&gt;"",M215&lt;&gt;""),"yes",IF(OR(L215&lt;&gt;"",M215&lt;&gt;""),"partial","no"))</f>
        <v>partial</v>
      </c>
    </row>
    <row r="216" customFormat="false" ht="15" hidden="false" customHeight="true" outlineLevel="0" collapsed="false">
      <c r="A216" s="11" t="s">
        <v>9</v>
      </c>
      <c r="B216" s="11" t="s">
        <v>756</v>
      </c>
      <c r="C216" s="11" t="s">
        <v>757</v>
      </c>
      <c r="D216" s="11" t="s">
        <v>441</v>
      </c>
      <c r="E216" s="11" t="s">
        <v>435</v>
      </c>
      <c r="F216" s="11" t="s">
        <v>478</v>
      </c>
      <c r="G216" s="11" t="s">
        <v>474</v>
      </c>
      <c r="H216" s="11" t="s">
        <v>438</v>
      </c>
      <c r="I216" s="11"/>
      <c r="J216" s="12" t="s">
        <v>439</v>
      </c>
      <c r="K216" s="12" t="s">
        <v>439</v>
      </c>
      <c r="L216" s="13" t="s">
        <v>758</v>
      </c>
      <c r="M216" s="13"/>
      <c r="N216" s="11" t="str">
        <f aca="false">IF(AND(L216&lt;&gt;"",M216&lt;&gt;""),"yes",IF(OR(L216&lt;&gt;"",M216&lt;&gt;""),"partial","no"))</f>
        <v>partial</v>
      </c>
    </row>
    <row r="217" customFormat="false" ht="15" hidden="false" customHeight="true" outlineLevel="0" collapsed="false">
      <c r="A217" s="11" t="s">
        <v>9</v>
      </c>
      <c r="B217" s="11" t="s">
        <v>759</v>
      </c>
      <c r="C217" s="11" t="s">
        <v>760</v>
      </c>
      <c r="D217" s="11" t="s">
        <v>441</v>
      </c>
      <c r="E217" s="11" t="s">
        <v>435</v>
      </c>
      <c r="F217" s="11" t="s">
        <v>478</v>
      </c>
      <c r="G217" s="11" t="s">
        <v>474</v>
      </c>
      <c r="H217" s="11" t="s">
        <v>438</v>
      </c>
      <c r="I217" s="11"/>
      <c r="J217" s="12" t="s">
        <v>439</v>
      </c>
      <c r="K217" s="12" t="s">
        <v>439</v>
      </c>
      <c r="L217" s="13" t="s">
        <v>761</v>
      </c>
      <c r="M217" s="13"/>
      <c r="N217" s="11" t="str">
        <f aca="false">IF(AND(L217&lt;&gt;"",M217&lt;&gt;""),"yes",IF(OR(L217&lt;&gt;"",M217&lt;&gt;""),"partial","no"))</f>
        <v>partial</v>
      </c>
    </row>
    <row r="218" customFormat="false" ht="15" hidden="false" customHeight="true" outlineLevel="0" collapsed="false">
      <c r="A218" s="11" t="s">
        <v>9</v>
      </c>
      <c r="B218" s="11" t="s">
        <v>762</v>
      </c>
      <c r="C218" s="11" t="s">
        <v>763</v>
      </c>
      <c r="D218" s="11" t="s">
        <v>441</v>
      </c>
      <c r="E218" s="11" t="s">
        <v>435</v>
      </c>
      <c r="F218" s="11" t="s">
        <v>478</v>
      </c>
      <c r="G218" s="11" t="s">
        <v>474</v>
      </c>
      <c r="H218" s="11" t="s">
        <v>438</v>
      </c>
      <c r="I218" s="11"/>
      <c r="J218" s="12" t="s">
        <v>439</v>
      </c>
      <c r="K218" s="12" t="s">
        <v>439</v>
      </c>
      <c r="L218" s="13" t="s">
        <v>764</v>
      </c>
      <c r="M218" s="13"/>
      <c r="N218" s="11" t="str">
        <f aca="false">IF(AND(L218&lt;&gt;"",M218&lt;&gt;""),"yes",IF(OR(L218&lt;&gt;"",M218&lt;&gt;""),"partial","no"))</f>
        <v>partial</v>
      </c>
    </row>
    <row r="219" customFormat="false" ht="15" hidden="false" customHeight="true" outlineLevel="0" collapsed="false">
      <c r="A219" s="11" t="s">
        <v>9</v>
      </c>
      <c r="B219" s="11" t="s">
        <v>765</v>
      </c>
      <c r="C219" s="11" t="s">
        <v>766</v>
      </c>
      <c r="D219" s="11" t="s">
        <v>441</v>
      </c>
      <c r="E219" s="11" t="s">
        <v>435</v>
      </c>
      <c r="F219" s="11" t="s">
        <v>478</v>
      </c>
      <c r="G219" s="11" t="s">
        <v>474</v>
      </c>
      <c r="H219" s="11" t="s">
        <v>438</v>
      </c>
      <c r="I219" s="11"/>
      <c r="J219" s="12" t="s">
        <v>439</v>
      </c>
      <c r="K219" s="12" t="s">
        <v>439</v>
      </c>
      <c r="L219" s="13" t="s">
        <v>767</v>
      </c>
      <c r="M219" s="13"/>
      <c r="N219" s="11" t="str">
        <f aca="false">IF(AND(L219&lt;&gt;"",M219&lt;&gt;""),"yes",IF(OR(L219&lt;&gt;"",M219&lt;&gt;""),"partial","no"))</f>
        <v>partial</v>
      </c>
    </row>
    <row r="220" customFormat="false" ht="15" hidden="false" customHeight="true" outlineLevel="0" collapsed="false">
      <c r="A220" s="11" t="s">
        <v>9</v>
      </c>
      <c r="B220" s="11" t="s">
        <v>768</v>
      </c>
      <c r="C220" s="11" t="s">
        <v>769</v>
      </c>
      <c r="D220" s="11" t="s">
        <v>441</v>
      </c>
      <c r="E220" s="11" t="s">
        <v>435</v>
      </c>
      <c r="F220" s="11" t="s">
        <v>478</v>
      </c>
      <c r="G220" s="11" t="s">
        <v>474</v>
      </c>
      <c r="H220" s="11" t="s">
        <v>438</v>
      </c>
      <c r="I220" s="11"/>
      <c r="J220" s="12" t="s">
        <v>439</v>
      </c>
      <c r="K220" s="12" t="s">
        <v>439</v>
      </c>
      <c r="L220" s="13" t="s">
        <v>770</v>
      </c>
      <c r="M220" s="13"/>
      <c r="N220" s="11" t="str">
        <f aca="false">IF(AND(L220&lt;&gt;"",M220&lt;&gt;""),"yes",IF(OR(L220&lt;&gt;"",M220&lt;&gt;""),"partial","no"))</f>
        <v>partial</v>
      </c>
    </row>
    <row r="221" customFormat="false" ht="15" hidden="false" customHeight="true" outlineLevel="0" collapsed="false">
      <c r="A221" s="11" t="s">
        <v>9</v>
      </c>
      <c r="B221" s="11" t="s">
        <v>771</v>
      </c>
      <c r="C221" s="11" t="s">
        <v>772</v>
      </c>
      <c r="D221" s="11" t="s">
        <v>616</v>
      </c>
      <c r="E221" s="11" t="s">
        <v>435</v>
      </c>
      <c r="F221" s="11" t="s">
        <v>478</v>
      </c>
      <c r="G221" s="11" t="s">
        <v>474</v>
      </c>
      <c r="H221" s="11" t="s">
        <v>438</v>
      </c>
      <c r="I221" s="11"/>
      <c r="J221" s="12" t="s">
        <v>439</v>
      </c>
      <c r="K221" s="12" t="s">
        <v>439</v>
      </c>
      <c r="L221" s="13" t="s">
        <v>773</v>
      </c>
      <c r="M221" s="13"/>
      <c r="N221" s="11" t="str">
        <f aca="false">IF(AND(L221&lt;&gt;"",M221&lt;&gt;""),"yes",IF(OR(L221&lt;&gt;"",M221&lt;&gt;""),"partial","no"))</f>
        <v>partial</v>
      </c>
    </row>
    <row r="222" customFormat="false" ht="15" hidden="false" customHeight="true" outlineLevel="0" collapsed="false">
      <c r="A222" s="11" t="s">
        <v>9</v>
      </c>
      <c r="B222" s="11" t="s">
        <v>774</v>
      </c>
      <c r="C222" s="11" t="s">
        <v>775</v>
      </c>
      <c r="D222" s="11" t="s">
        <v>623</v>
      </c>
      <c r="E222" s="11" t="s">
        <v>435</v>
      </c>
      <c r="F222" s="11" t="s">
        <v>478</v>
      </c>
      <c r="G222" s="11" t="s">
        <v>474</v>
      </c>
      <c r="H222" s="11" t="s">
        <v>438</v>
      </c>
      <c r="I222" s="11"/>
      <c r="J222" s="12" t="s">
        <v>439</v>
      </c>
      <c r="K222" s="12" t="s">
        <v>439</v>
      </c>
      <c r="L222" s="13" t="s">
        <v>776</v>
      </c>
      <c r="M222" s="13"/>
      <c r="N222" s="11" t="str">
        <f aca="false">IF(AND(L222&lt;&gt;"",M222&lt;&gt;""),"yes",IF(OR(L222&lt;&gt;"",M222&lt;&gt;""),"partial","no"))</f>
        <v>partial</v>
      </c>
    </row>
    <row r="223" customFormat="false" ht="15" hidden="false" customHeight="true" outlineLevel="0" collapsed="false">
      <c r="A223" s="11" t="s">
        <v>9</v>
      </c>
      <c r="B223" s="11" t="s">
        <v>777</v>
      </c>
      <c r="C223" s="11" t="s">
        <v>778</v>
      </c>
      <c r="D223" s="11" t="s">
        <v>458</v>
      </c>
      <c r="E223" s="11" t="s">
        <v>435</v>
      </c>
      <c r="F223" s="11" t="s">
        <v>478</v>
      </c>
      <c r="G223" s="11" t="s">
        <v>474</v>
      </c>
      <c r="H223" s="11" t="s">
        <v>438</v>
      </c>
      <c r="I223" s="11"/>
      <c r="J223" s="12" t="s">
        <v>439</v>
      </c>
      <c r="K223" s="12" t="s">
        <v>439</v>
      </c>
      <c r="L223" s="13" t="s">
        <v>779</v>
      </c>
      <c r="M223" s="13"/>
      <c r="N223" s="11" t="str">
        <f aca="false">IF(AND(L223&lt;&gt;"",M223&lt;&gt;""),"yes",IF(OR(L223&lt;&gt;"",M223&lt;&gt;""),"partial","no"))</f>
        <v>partial</v>
      </c>
    </row>
    <row r="224" customFormat="false" ht="15" hidden="false" customHeight="true" outlineLevel="0" collapsed="false">
      <c r="A224" s="11" t="s">
        <v>10</v>
      </c>
      <c r="B224" s="11" t="s">
        <v>491</v>
      </c>
      <c r="C224" s="11" t="s">
        <v>492</v>
      </c>
      <c r="D224" s="11" t="s">
        <v>477</v>
      </c>
      <c r="E224" s="11" t="s">
        <v>435</v>
      </c>
      <c r="F224" s="11"/>
      <c r="G224" s="11" t="s">
        <v>437</v>
      </c>
      <c r="H224" s="11" t="s">
        <v>438</v>
      </c>
      <c r="I224" s="11"/>
      <c r="J224" s="12" t="s">
        <v>439</v>
      </c>
      <c r="K224" s="12" t="s">
        <v>439</v>
      </c>
      <c r="L224" s="13"/>
      <c r="M224" s="13"/>
      <c r="N224" s="11" t="str">
        <f aca="false">IF(AND(L224&lt;&gt;"",M224&lt;&gt;""),"yes",IF(OR(L224&lt;&gt;"",M224&lt;&gt;""),"partial","no"))</f>
        <v>no</v>
      </c>
    </row>
    <row r="225" customFormat="false" ht="15" hidden="false" customHeight="true" outlineLevel="0" collapsed="false">
      <c r="A225" s="11" t="s">
        <v>10</v>
      </c>
      <c r="B225" s="11" t="s">
        <v>780</v>
      </c>
      <c r="C225" s="11" t="s">
        <v>781</v>
      </c>
      <c r="D225" s="11" t="s">
        <v>495</v>
      </c>
      <c r="E225" s="11" t="s">
        <v>435</v>
      </c>
      <c r="F225" s="11"/>
      <c r="G225" s="11" t="s">
        <v>437</v>
      </c>
      <c r="H225" s="11" t="s">
        <v>438</v>
      </c>
      <c r="I225" s="11"/>
      <c r="J225" s="12" t="s">
        <v>439</v>
      </c>
      <c r="K225" s="12" t="s">
        <v>439</v>
      </c>
      <c r="L225" s="13"/>
      <c r="M225" s="13"/>
      <c r="N225" s="11" t="str">
        <f aca="false">IF(AND(L225&lt;&gt;"",M225&lt;&gt;""),"yes",IF(OR(L225&lt;&gt;"",M225&lt;&gt;""),"partial","no"))</f>
        <v>no</v>
      </c>
    </row>
    <row r="226" customFormat="false" ht="15" hidden="false" customHeight="true" outlineLevel="0" collapsed="false">
      <c r="A226" s="11" t="s">
        <v>10</v>
      </c>
      <c r="B226" s="11" t="s">
        <v>782</v>
      </c>
      <c r="C226" s="11" t="s">
        <v>783</v>
      </c>
      <c r="D226" s="11" t="s">
        <v>495</v>
      </c>
      <c r="E226" s="11" t="s">
        <v>435</v>
      </c>
      <c r="F226" s="11"/>
      <c r="G226" s="11" t="s">
        <v>437</v>
      </c>
      <c r="H226" s="11" t="s">
        <v>438</v>
      </c>
      <c r="I226" s="11"/>
      <c r="J226" s="12" t="s">
        <v>439</v>
      </c>
      <c r="K226" s="12" t="s">
        <v>439</v>
      </c>
      <c r="L226" s="13"/>
      <c r="M226" s="13"/>
      <c r="N226" s="11" t="str">
        <f aca="false">IF(AND(L226&lt;&gt;"",M226&lt;&gt;""),"yes",IF(OR(L226&lt;&gt;"",M226&lt;&gt;""),"partial","no"))</f>
        <v>no</v>
      </c>
    </row>
    <row r="227" customFormat="false" ht="15" hidden="false" customHeight="true" outlineLevel="0" collapsed="false">
      <c r="A227" s="11" t="s">
        <v>10</v>
      </c>
      <c r="B227" s="11" t="s">
        <v>784</v>
      </c>
      <c r="C227" s="11" t="s">
        <v>785</v>
      </c>
      <c r="D227" s="11" t="s">
        <v>495</v>
      </c>
      <c r="E227" s="11" t="s">
        <v>435</v>
      </c>
      <c r="F227" s="11"/>
      <c r="G227" s="11" t="s">
        <v>437</v>
      </c>
      <c r="H227" s="11" t="s">
        <v>438</v>
      </c>
      <c r="I227" s="11"/>
      <c r="J227" s="12" t="s">
        <v>439</v>
      </c>
      <c r="K227" s="12" t="s">
        <v>439</v>
      </c>
      <c r="L227" s="13"/>
      <c r="M227" s="13"/>
      <c r="N227" s="11" t="str">
        <f aca="false">IF(AND(L227&lt;&gt;"",M227&lt;&gt;""),"yes",IF(OR(L227&lt;&gt;"",M227&lt;&gt;""),"partial","no"))</f>
        <v>no</v>
      </c>
    </row>
    <row r="228" customFormat="false" ht="15" hidden="false" customHeight="true" outlineLevel="0" collapsed="false">
      <c r="A228" s="11" t="s">
        <v>10</v>
      </c>
      <c r="B228" s="11" t="s">
        <v>786</v>
      </c>
      <c r="C228" s="11" t="s">
        <v>787</v>
      </c>
      <c r="D228" s="11" t="s">
        <v>495</v>
      </c>
      <c r="E228" s="11" t="s">
        <v>435</v>
      </c>
      <c r="F228" s="11"/>
      <c r="G228" s="11" t="s">
        <v>437</v>
      </c>
      <c r="H228" s="11" t="s">
        <v>438</v>
      </c>
      <c r="I228" s="11"/>
      <c r="J228" s="12" t="s">
        <v>439</v>
      </c>
      <c r="K228" s="12" t="s">
        <v>439</v>
      </c>
      <c r="L228" s="13"/>
      <c r="M228" s="13"/>
      <c r="N228" s="11" t="str">
        <f aca="false">IF(AND(L228&lt;&gt;"",M228&lt;&gt;""),"yes",IF(OR(L228&lt;&gt;"",M228&lt;&gt;""),"partial","no"))</f>
        <v>no</v>
      </c>
    </row>
    <row r="229" customFormat="false" ht="15" hidden="false" customHeight="true" outlineLevel="0" collapsed="false">
      <c r="A229" s="11" t="s">
        <v>10</v>
      </c>
      <c r="B229" s="11" t="s">
        <v>788</v>
      </c>
      <c r="C229" s="11" t="s">
        <v>789</v>
      </c>
      <c r="D229" s="11" t="s">
        <v>790</v>
      </c>
      <c r="E229" s="11" t="s">
        <v>435</v>
      </c>
      <c r="F229" s="11"/>
      <c r="G229" s="11" t="s">
        <v>437</v>
      </c>
      <c r="H229" s="11" t="s">
        <v>438</v>
      </c>
      <c r="I229" s="11"/>
      <c r="J229" s="12" t="s">
        <v>439</v>
      </c>
      <c r="K229" s="12" t="s">
        <v>439</v>
      </c>
      <c r="L229" s="13"/>
      <c r="M229" s="13"/>
      <c r="N229" s="11" t="str">
        <f aca="false">IF(AND(L229&lt;&gt;"",M229&lt;&gt;""),"yes",IF(OR(L229&lt;&gt;"",M229&lt;&gt;""),"partial","no"))</f>
        <v>no</v>
      </c>
    </row>
    <row r="230" customFormat="false" ht="15" hidden="false" customHeight="true" outlineLevel="0" collapsed="false">
      <c r="A230" s="11" t="s">
        <v>10</v>
      </c>
      <c r="B230" s="11" t="s">
        <v>791</v>
      </c>
      <c r="C230" s="11" t="s">
        <v>792</v>
      </c>
      <c r="D230" s="11" t="s">
        <v>790</v>
      </c>
      <c r="E230" s="11" t="s">
        <v>435</v>
      </c>
      <c r="F230" s="11"/>
      <c r="G230" s="11" t="s">
        <v>437</v>
      </c>
      <c r="H230" s="11" t="s">
        <v>438</v>
      </c>
      <c r="I230" s="11"/>
      <c r="J230" s="12" t="s">
        <v>439</v>
      </c>
      <c r="K230" s="12" t="s">
        <v>439</v>
      </c>
      <c r="L230" s="13"/>
      <c r="M230" s="13"/>
      <c r="N230" s="11" t="str">
        <f aca="false">IF(AND(L230&lt;&gt;"",M230&lt;&gt;""),"yes",IF(OR(L230&lt;&gt;"",M230&lt;&gt;""),"partial","no"))</f>
        <v>no</v>
      </c>
    </row>
    <row r="231" customFormat="false" ht="15" hidden="false" customHeight="true" outlineLevel="0" collapsed="false">
      <c r="A231" s="11" t="s">
        <v>10</v>
      </c>
      <c r="B231" s="11" t="s">
        <v>793</v>
      </c>
      <c r="C231" s="11" t="s">
        <v>794</v>
      </c>
      <c r="D231" s="11" t="s">
        <v>790</v>
      </c>
      <c r="E231" s="11" t="s">
        <v>435</v>
      </c>
      <c r="F231" s="11"/>
      <c r="G231" s="11" t="s">
        <v>437</v>
      </c>
      <c r="H231" s="11" t="s">
        <v>438</v>
      </c>
      <c r="I231" s="11"/>
      <c r="J231" s="12" t="s">
        <v>439</v>
      </c>
      <c r="K231" s="12" t="s">
        <v>439</v>
      </c>
      <c r="L231" s="13"/>
      <c r="M231" s="13"/>
      <c r="N231" s="11" t="str">
        <f aca="false">IF(AND(L231&lt;&gt;"",M231&lt;&gt;""),"yes",IF(OR(L231&lt;&gt;"",M231&lt;&gt;""),"partial","no"))</f>
        <v>no</v>
      </c>
    </row>
    <row r="232" customFormat="false" ht="15" hidden="false" customHeight="true" outlineLevel="0" collapsed="false">
      <c r="A232" s="11" t="s">
        <v>10</v>
      </c>
      <c r="B232" s="11" t="s">
        <v>795</v>
      </c>
      <c r="C232" s="11" t="s">
        <v>796</v>
      </c>
      <c r="D232" s="11" t="s">
        <v>502</v>
      </c>
      <c r="E232" s="11" t="s">
        <v>435</v>
      </c>
      <c r="F232" s="11"/>
      <c r="G232" s="11" t="s">
        <v>437</v>
      </c>
      <c r="H232" s="11" t="s">
        <v>438</v>
      </c>
      <c r="I232" s="11"/>
      <c r="J232" s="12" t="s">
        <v>439</v>
      </c>
      <c r="K232" s="12" t="s">
        <v>439</v>
      </c>
      <c r="L232" s="13"/>
      <c r="M232" s="13"/>
      <c r="N232" s="11" t="str">
        <f aca="false">IF(AND(L232&lt;&gt;"",M232&lt;&gt;""),"yes",IF(OR(L232&lt;&gt;"",M232&lt;&gt;""),"partial","no"))</f>
        <v>no</v>
      </c>
    </row>
    <row r="233" customFormat="false" ht="15" hidden="false" customHeight="true" outlineLevel="0" collapsed="false">
      <c r="A233" s="11" t="s">
        <v>10</v>
      </c>
      <c r="B233" s="11" t="s">
        <v>797</v>
      </c>
      <c r="C233" s="11" t="s">
        <v>798</v>
      </c>
      <c r="D233" s="11" t="s">
        <v>517</v>
      </c>
      <c r="E233" s="11" t="s">
        <v>435</v>
      </c>
      <c r="F233" s="11"/>
      <c r="G233" s="11" t="s">
        <v>437</v>
      </c>
      <c r="H233" s="11" t="s">
        <v>438</v>
      </c>
      <c r="I233" s="11"/>
      <c r="J233" s="12" t="s">
        <v>439</v>
      </c>
      <c r="K233" s="12" t="s">
        <v>439</v>
      </c>
      <c r="L233" s="13"/>
      <c r="M233" s="13"/>
      <c r="N233" s="11" t="str">
        <f aca="false">IF(AND(L233&lt;&gt;"",M233&lt;&gt;""),"yes",IF(OR(L233&lt;&gt;"",M233&lt;&gt;""),"partial","no"))</f>
        <v>no</v>
      </c>
    </row>
    <row r="234" customFormat="false" ht="15" hidden="false" customHeight="true" outlineLevel="0" collapsed="false">
      <c r="A234" s="11" t="s">
        <v>10</v>
      </c>
      <c r="B234" s="11" t="s">
        <v>799</v>
      </c>
      <c r="C234" s="11" t="s">
        <v>800</v>
      </c>
      <c r="D234" s="11" t="s">
        <v>517</v>
      </c>
      <c r="E234" s="11" t="s">
        <v>435</v>
      </c>
      <c r="F234" s="11"/>
      <c r="G234" s="11" t="s">
        <v>437</v>
      </c>
      <c r="H234" s="11" t="s">
        <v>438</v>
      </c>
      <c r="I234" s="11"/>
      <c r="J234" s="12" t="s">
        <v>439</v>
      </c>
      <c r="K234" s="12" t="s">
        <v>439</v>
      </c>
      <c r="L234" s="13"/>
      <c r="M234" s="13"/>
      <c r="N234" s="11" t="str">
        <f aca="false">IF(AND(L234&lt;&gt;"",M234&lt;&gt;""),"yes",IF(OR(L234&lt;&gt;"",M234&lt;&gt;""),"partial","no"))</f>
        <v>no</v>
      </c>
    </row>
    <row r="235" customFormat="false" ht="15" hidden="false" customHeight="true" outlineLevel="0" collapsed="false">
      <c r="A235" s="11" t="s">
        <v>10</v>
      </c>
      <c r="B235" s="11" t="s">
        <v>801</v>
      </c>
      <c r="C235" s="11" t="s">
        <v>802</v>
      </c>
      <c r="D235" s="11" t="s">
        <v>517</v>
      </c>
      <c r="E235" s="11" t="s">
        <v>435</v>
      </c>
      <c r="F235" s="11"/>
      <c r="G235" s="11" t="s">
        <v>437</v>
      </c>
      <c r="H235" s="11" t="s">
        <v>438</v>
      </c>
      <c r="I235" s="11"/>
      <c r="J235" s="12" t="s">
        <v>439</v>
      </c>
      <c r="K235" s="12" t="s">
        <v>439</v>
      </c>
      <c r="L235" s="13"/>
      <c r="M235" s="13"/>
      <c r="N235" s="11" t="str">
        <f aca="false">IF(AND(L235&lt;&gt;"",M235&lt;&gt;""),"yes",IF(OR(L235&lt;&gt;"",M235&lt;&gt;""),"partial","no"))</f>
        <v>no</v>
      </c>
    </row>
    <row r="236" customFormat="false" ht="15" hidden="false" customHeight="true" outlineLevel="0" collapsed="false">
      <c r="A236" s="11" t="s">
        <v>10</v>
      </c>
      <c r="B236" s="11" t="s">
        <v>803</v>
      </c>
      <c r="C236" s="11" t="s">
        <v>804</v>
      </c>
      <c r="D236" s="11" t="s">
        <v>517</v>
      </c>
      <c r="E236" s="11" t="s">
        <v>435</v>
      </c>
      <c r="F236" s="11"/>
      <c r="G236" s="11" t="s">
        <v>437</v>
      </c>
      <c r="H236" s="11" t="s">
        <v>438</v>
      </c>
      <c r="I236" s="11"/>
      <c r="J236" s="12" t="s">
        <v>439</v>
      </c>
      <c r="K236" s="12" t="s">
        <v>439</v>
      </c>
      <c r="L236" s="13"/>
      <c r="M236" s="13"/>
      <c r="N236" s="11" t="str">
        <f aca="false">IF(AND(L236&lt;&gt;"",M236&lt;&gt;""),"yes",IF(OR(L236&lt;&gt;"",M236&lt;&gt;""),"partial","no"))</f>
        <v>no</v>
      </c>
    </row>
    <row r="237" customFormat="false" ht="15" hidden="false" customHeight="true" outlineLevel="0" collapsed="false">
      <c r="A237" s="11" t="s">
        <v>10</v>
      </c>
      <c r="B237" s="11" t="s">
        <v>805</v>
      </c>
      <c r="C237" s="11" t="s">
        <v>806</v>
      </c>
      <c r="D237" s="11" t="s">
        <v>517</v>
      </c>
      <c r="E237" s="11" t="s">
        <v>435</v>
      </c>
      <c r="F237" s="11"/>
      <c r="G237" s="11" t="s">
        <v>437</v>
      </c>
      <c r="H237" s="11" t="s">
        <v>438</v>
      </c>
      <c r="I237" s="11"/>
      <c r="J237" s="12" t="s">
        <v>439</v>
      </c>
      <c r="K237" s="12" t="s">
        <v>439</v>
      </c>
      <c r="L237" s="13"/>
      <c r="M237" s="13"/>
      <c r="N237" s="11" t="str">
        <f aca="false">IF(AND(L237&lt;&gt;"",M237&lt;&gt;""),"yes",IF(OR(L237&lt;&gt;"",M237&lt;&gt;""),"partial","no"))</f>
        <v>no</v>
      </c>
    </row>
    <row r="238" customFormat="false" ht="15" hidden="false" customHeight="true" outlineLevel="0" collapsed="false">
      <c r="A238" s="11" t="s">
        <v>10</v>
      </c>
      <c r="B238" s="11" t="s">
        <v>807</v>
      </c>
      <c r="C238" s="11" t="s">
        <v>808</v>
      </c>
      <c r="D238" s="11" t="s">
        <v>517</v>
      </c>
      <c r="E238" s="11" t="s">
        <v>435</v>
      </c>
      <c r="F238" s="11"/>
      <c r="G238" s="11" t="s">
        <v>437</v>
      </c>
      <c r="H238" s="11" t="s">
        <v>438</v>
      </c>
      <c r="I238" s="11"/>
      <c r="J238" s="12" t="s">
        <v>439</v>
      </c>
      <c r="K238" s="12" t="s">
        <v>439</v>
      </c>
      <c r="L238" s="13"/>
      <c r="M238" s="13"/>
      <c r="N238" s="11" t="str">
        <f aca="false">IF(AND(L238&lt;&gt;"",M238&lt;&gt;""),"yes",IF(OR(L238&lt;&gt;"",M238&lt;&gt;""),"partial","no"))</f>
        <v>no</v>
      </c>
    </row>
    <row r="239" customFormat="false" ht="15" hidden="false" customHeight="true" outlineLevel="0" collapsed="false">
      <c r="A239" s="11" t="s">
        <v>10</v>
      </c>
      <c r="B239" s="11" t="s">
        <v>809</v>
      </c>
      <c r="C239" s="11" t="s">
        <v>810</v>
      </c>
      <c r="D239" s="11" t="s">
        <v>517</v>
      </c>
      <c r="E239" s="11" t="s">
        <v>435</v>
      </c>
      <c r="F239" s="11"/>
      <c r="G239" s="11" t="s">
        <v>437</v>
      </c>
      <c r="H239" s="11" t="s">
        <v>438</v>
      </c>
      <c r="I239" s="11"/>
      <c r="J239" s="12" t="s">
        <v>439</v>
      </c>
      <c r="K239" s="12" t="s">
        <v>439</v>
      </c>
      <c r="L239" s="13"/>
      <c r="M239" s="13"/>
      <c r="N239" s="11" t="str">
        <f aca="false">IF(AND(L239&lt;&gt;"",M239&lt;&gt;""),"yes",IF(OR(L239&lt;&gt;"",M239&lt;&gt;""),"partial","no"))</f>
        <v>no</v>
      </c>
    </row>
    <row r="240" customFormat="false" ht="15" hidden="false" customHeight="true" outlineLevel="0" collapsed="false">
      <c r="A240" s="11" t="s">
        <v>10</v>
      </c>
      <c r="B240" s="11" t="s">
        <v>811</v>
      </c>
      <c r="C240" s="11" t="s">
        <v>812</v>
      </c>
      <c r="D240" s="11" t="s">
        <v>434</v>
      </c>
      <c r="E240" s="11" t="s">
        <v>435</v>
      </c>
      <c r="F240" s="11"/>
      <c r="G240" s="11" t="s">
        <v>437</v>
      </c>
      <c r="H240" s="11" t="s">
        <v>438</v>
      </c>
      <c r="I240" s="11"/>
      <c r="J240" s="12" t="s">
        <v>439</v>
      </c>
      <c r="K240" s="12" t="s">
        <v>439</v>
      </c>
      <c r="L240" s="13"/>
      <c r="M240" s="13"/>
      <c r="N240" s="11" t="str">
        <f aca="false">IF(AND(L240&lt;&gt;"",M240&lt;&gt;""),"yes",IF(OR(L240&lt;&gt;"",M240&lt;&gt;""),"partial","no"))</f>
        <v>no</v>
      </c>
    </row>
    <row r="241" customFormat="false" ht="15" hidden="false" customHeight="true" outlineLevel="0" collapsed="false">
      <c r="A241" s="11" t="s">
        <v>10</v>
      </c>
      <c r="B241" s="11" t="s">
        <v>813</v>
      </c>
      <c r="C241" s="11" t="s">
        <v>814</v>
      </c>
      <c r="D241" s="11" t="s">
        <v>434</v>
      </c>
      <c r="E241" s="11" t="s">
        <v>435</v>
      </c>
      <c r="F241" s="11"/>
      <c r="G241" s="11" t="s">
        <v>437</v>
      </c>
      <c r="H241" s="11" t="s">
        <v>438</v>
      </c>
      <c r="I241" s="11"/>
      <c r="J241" s="12" t="s">
        <v>439</v>
      </c>
      <c r="K241" s="12" t="s">
        <v>439</v>
      </c>
      <c r="L241" s="13"/>
      <c r="M241" s="13"/>
      <c r="N241" s="11" t="str">
        <f aca="false">IF(AND(L241&lt;&gt;"",M241&lt;&gt;""),"yes",IF(OR(L241&lt;&gt;"",M241&lt;&gt;""),"partial","no"))</f>
        <v>no</v>
      </c>
    </row>
    <row r="242" customFormat="false" ht="15" hidden="false" customHeight="true" outlineLevel="0" collapsed="false">
      <c r="A242" s="11" t="s">
        <v>10</v>
      </c>
      <c r="B242" s="11" t="s">
        <v>815</v>
      </c>
      <c r="C242" s="11" t="s">
        <v>816</v>
      </c>
      <c r="D242" s="11" t="s">
        <v>434</v>
      </c>
      <c r="E242" s="11" t="s">
        <v>435</v>
      </c>
      <c r="F242" s="11"/>
      <c r="G242" s="11" t="s">
        <v>437</v>
      </c>
      <c r="H242" s="11" t="s">
        <v>438</v>
      </c>
      <c r="I242" s="11"/>
      <c r="J242" s="12" t="s">
        <v>439</v>
      </c>
      <c r="K242" s="12" t="s">
        <v>439</v>
      </c>
      <c r="L242" s="13"/>
      <c r="M242" s="13"/>
      <c r="N242" s="11" t="str">
        <f aca="false">IF(AND(L242&lt;&gt;"",M242&lt;&gt;""),"yes",IF(OR(L242&lt;&gt;"",M242&lt;&gt;""),"partial","no"))</f>
        <v>no</v>
      </c>
    </row>
    <row r="243" customFormat="false" ht="15" hidden="false" customHeight="true" outlineLevel="0" collapsed="false">
      <c r="A243" s="11" t="s">
        <v>10</v>
      </c>
      <c r="B243" s="11" t="s">
        <v>817</v>
      </c>
      <c r="C243" s="11" t="s">
        <v>818</v>
      </c>
      <c r="D243" s="11" t="s">
        <v>434</v>
      </c>
      <c r="E243" s="11" t="s">
        <v>435</v>
      </c>
      <c r="F243" s="11"/>
      <c r="G243" s="11" t="s">
        <v>437</v>
      </c>
      <c r="H243" s="11" t="s">
        <v>438</v>
      </c>
      <c r="I243" s="11"/>
      <c r="J243" s="12" t="s">
        <v>439</v>
      </c>
      <c r="K243" s="12" t="s">
        <v>439</v>
      </c>
      <c r="L243" s="13"/>
      <c r="M243" s="13"/>
      <c r="N243" s="11" t="str">
        <f aca="false">IF(AND(L243&lt;&gt;"",M243&lt;&gt;""),"yes",IF(OR(L243&lt;&gt;"",M243&lt;&gt;""),"partial","no"))</f>
        <v>no</v>
      </c>
    </row>
    <row r="244" customFormat="false" ht="15" hidden="false" customHeight="true" outlineLevel="0" collapsed="false">
      <c r="A244" s="11" t="s">
        <v>10</v>
      </c>
      <c r="B244" s="11" t="s">
        <v>819</v>
      </c>
      <c r="C244" s="11" t="s">
        <v>820</v>
      </c>
      <c r="D244" s="11" t="s">
        <v>434</v>
      </c>
      <c r="E244" s="11" t="s">
        <v>435</v>
      </c>
      <c r="F244" s="11"/>
      <c r="G244" s="11" t="s">
        <v>437</v>
      </c>
      <c r="H244" s="11" t="s">
        <v>438</v>
      </c>
      <c r="I244" s="11"/>
      <c r="J244" s="12" t="s">
        <v>439</v>
      </c>
      <c r="K244" s="12" t="s">
        <v>439</v>
      </c>
      <c r="L244" s="13"/>
      <c r="M244" s="13"/>
      <c r="N244" s="11" t="str">
        <f aca="false">IF(AND(L244&lt;&gt;"",M244&lt;&gt;""),"yes",IF(OR(L244&lt;&gt;"",M244&lt;&gt;""),"partial","no"))</f>
        <v>no</v>
      </c>
    </row>
    <row r="245" customFormat="false" ht="15" hidden="false" customHeight="true" outlineLevel="0" collapsed="false">
      <c r="A245" s="11" t="s">
        <v>10</v>
      </c>
      <c r="B245" s="11" t="s">
        <v>821</v>
      </c>
      <c r="C245" s="11" t="s">
        <v>822</v>
      </c>
      <c r="D245" s="11" t="s">
        <v>530</v>
      </c>
      <c r="E245" s="11" t="s">
        <v>435</v>
      </c>
      <c r="F245" s="11"/>
      <c r="G245" s="11" t="s">
        <v>437</v>
      </c>
      <c r="H245" s="11" t="s">
        <v>438</v>
      </c>
      <c r="I245" s="11"/>
      <c r="J245" s="12" t="s">
        <v>439</v>
      </c>
      <c r="K245" s="12" t="s">
        <v>439</v>
      </c>
      <c r="L245" s="13"/>
      <c r="M245" s="13"/>
      <c r="N245" s="11" t="str">
        <f aca="false">IF(AND(L245&lt;&gt;"",M245&lt;&gt;""),"yes",IF(OR(L245&lt;&gt;"",M245&lt;&gt;""),"partial","no"))</f>
        <v>no</v>
      </c>
    </row>
    <row r="246" customFormat="false" ht="15" hidden="false" customHeight="true" outlineLevel="0" collapsed="false">
      <c r="A246" s="11" t="s">
        <v>10</v>
      </c>
      <c r="B246" s="11" t="s">
        <v>823</v>
      </c>
      <c r="C246" s="11" t="s">
        <v>824</v>
      </c>
      <c r="D246" s="11" t="s">
        <v>530</v>
      </c>
      <c r="E246" s="11" t="s">
        <v>435</v>
      </c>
      <c r="F246" s="11"/>
      <c r="G246" s="11" t="s">
        <v>437</v>
      </c>
      <c r="H246" s="11" t="s">
        <v>438</v>
      </c>
      <c r="I246" s="11"/>
      <c r="J246" s="12" t="s">
        <v>439</v>
      </c>
      <c r="K246" s="12" t="s">
        <v>439</v>
      </c>
      <c r="L246" s="13"/>
      <c r="M246" s="13"/>
      <c r="N246" s="11" t="str">
        <f aca="false">IF(AND(L246&lt;&gt;"",M246&lt;&gt;""),"yes",IF(OR(L246&lt;&gt;"",M246&lt;&gt;""),"partial","no"))</f>
        <v>no</v>
      </c>
    </row>
    <row r="247" customFormat="false" ht="15" hidden="false" customHeight="true" outlineLevel="0" collapsed="false">
      <c r="A247" s="11" t="s">
        <v>10</v>
      </c>
      <c r="B247" s="11" t="s">
        <v>825</v>
      </c>
      <c r="C247" s="11" t="s">
        <v>826</v>
      </c>
      <c r="D247" s="11" t="s">
        <v>441</v>
      </c>
      <c r="E247" s="11" t="s">
        <v>435</v>
      </c>
      <c r="F247" s="11"/>
      <c r="G247" s="11" t="s">
        <v>437</v>
      </c>
      <c r="H247" s="11" t="s">
        <v>438</v>
      </c>
      <c r="I247" s="11"/>
      <c r="J247" s="12" t="s">
        <v>439</v>
      </c>
      <c r="K247" s="12" t="s">
        <v>439</v>
      </c>
      <c r="L247" s="13"/>
      <c r="M247" s="13"/>
      <c r="N247" s="11" t="str">
        <f aca="false">IF(AND(L247&lt;&gt;"",M247&lt;&gt;""),"yes",IF(OR(L247&lt;&gt;"",M247&lt;&gt;""),"partial","no"))</f>
        <v>no</v>
      </c>
    </row>
    <row r="248" customFormat="false" ht="15" hidden="false" customHeight="true" outlineLevel="0" collapsed="false">
      <c r="A248" s="11" t="s">
        <v>10</v>
      </c>
      <c r="B248" s="11" t="s">
        <v>827</v>
      </c>
      <c r="C248" s="11" t="s">
        <v>828</v>
      </c>
      <c r="D248" s="11" t="s">
        <v>441</v>
      </c>
      <c r="E248" s="11" t="s">
        <v>435</v>
      </c>
      <c r="F248" s="11"/>
      <c r="G248" s="11" t="s">
        <v>437</v>
      </c>
      <c r="H248" s="11" t="s">
        <v>438</v>
      </c>
      <c r="I248" s="11"/>
      <c r="J248" s="12" t="s">
        <v>439</v>
      </c>
      <c r="K248" s="12" t="s">
        <v>439</v>
      </c>
      <c r="L248" s="13"/>
      <c r="M248" s="13"/>
      <c r="N248" s="11" t="str">
        <f aca="false">IF(AND(L248&lt;&gt;"",M248&lt;&gt;""),"yes",IF(OR(L248&lt;&gt;"",M248&lt;&gt;""),"partial","no"))</f>
        <v>no</v>
      </c>
    </row>
    <row r="249" customFormat="false" ht="15" hidden="false" customHeight="true" outlineLevel="0" collapsed="false">
      <c r="A249" s="11" t="s">
        <v>10</v>
      </c>
      <c r="B249" s="11" t="s">
        <v>829</v>
      </c>
      <c r="C249" s="11" t="s">
        <v>830</v>
      </c>
      <c r="D249" s="11" t="s">
        <v>441</v>
      </c>
      <c r="E249" s="11" t="s">
        <v>435</v>
      </c>
      <c r="F249" s="11"/>
      <c r="G249" s="11" t="s">
        <v>437</v>
      </c>
      <c r="H249" s="11" t="s">
        <v>438</v>
      </c>
      <c r="I249" s="11"/>
      <c r="J249" s="12" t="s">
        <v>439</v>
      </c>
      <c r="K249" s="12" t="s">
        <v>439</v>
      </c>
      <c r="L249" s="13"/>
      <c r="M249" s="13"/>
      <c r="N249" s="11" t="str">
        <f aca="false">IF(AND(L249&lt;&gt;"",M249&lt;&gt;""),"yes",IF(OR(L249&lt;&gt;"",M249&lt;&gt;""),"partial","no"))</f>
        <v>no</v>
      </c>
    </row>
    <row r="250" customFormat="false" ht="15" hidden="false" customHeight="true" outlineLevel="0" collapsed="false">
      <c r="A250" s="11" t="s">
        <v>10</v>
      </c>
      <c r="B250" s="11" t="s">
        <v>831</v>
      </c>
      <c r="C250" s="11" t="s">
        <v>832</v>
      </c>
      <c r="D250" s="11" t="s">
        <v>833</v>
      </c>
      <c r="E250" s="11" t="s">
        <v>435</v>
      </c>
      <c r="F250" s="11"/>
      <c r="G250" s="11" t="s">
        <v>437</v>
      </c>
      <c r="H250" s="11" t="s">
        <v>438</v>
      </c>
      <c r="I250" s="11"/>
      <c r="J250" s="12" t="s">
        <v>439</v>
      </c>
      <c r="K250" s="12" t="s">
        <v>439</v>
      </c>
      <c r="L250" s="13"/>
      <c r="M250" s="13"/>
      <c r="N250" s="11" t="str">
        <f aca="false">IF(AND(L250&lt;&gt;"",M250&lt;&gt;""),"yes",IF(OR(L250&lt;&gt;"",M250&lt;&gt;""),"partial","no"))</f>
        <v>no</v>
      </c>
    </row>
    <row r="251" customFormat="false" ht="15" hidden="false" customHeight="true" outlineLevel="0" collapsed="false">
      <c r="A251" s="11" t="s">
        <v>10</v>
      </c>
      <c r="B251" s="11" t="s">
        <v>834</v>
      </c>
      <c r="C251" s="11" t="s">
        <v>835</v>
      </c>
      <c r="D251" s="11" t="s">
        <v>833</v>
      </c>
      <c r="E251" s="11" t="s">
        <v>435</v>
      </c>
      <c r="F251" s="11"/>
      <c r="G251" s="11" t="s">
        <v>437</v>
      </c>
      <c r="H251" s="11" t="s">
        <v>438</v>
      </c>
      <c r="I251" s="11"/>
      <c r="J251" s="12" t="s">
        <v>439</v>
      </c>
      <c r="K251" s="12" t="s">
        <v>439</v>
      </c>
      <c r="L251" s="13"/>
      <c r="M251" s="13"/>
      <c r="N251" s="11" t="str">
        <f aca="false">IF(AND(L251&lt;&gt;"",M251&lt;&gt;""),"yes",IF(OR(L251&lt;&gt;"",M251&lt;&gt;""),"partial","no"))</f>
        <v>no</v>
      </c>
    </row>
    <row r="252" customFormat="false" ht="15" hidden="false" customHeight="true" outlineLevel="0" collapsed="false">
      <c r="A252" s="11" t="s">
        <v>10</v>
      </c>
      <c r="B252" s="11" t="s">
        <v>836</v>
      </c>
      <c r="C252" s="11" t="s">
        <v>837</v>
      </c>
      <c r="D252" s="11" t="s">
        <v>838</v>
      </c>
      <c r="E252" s="11" t="s">
        <v>435</v>
      </c>
      <c r="F252" s="11"/>
      <c r="G252" s="11" t="s">
        <v>437</v>
      </c>
      <c r="H252" s="11" t="s">
        <v>438</v>
      </c>
      <c r="I252" s="11"/>
      <c r="J252" s="12" t="s">
        <v>439</v>
      </c>
      <c r="K252" s="12" t="s">
        <v>439</v>
      </c>
      <c r="L252" s="13"/>
      <c r="M252" s="13"/>
      <c r="N252" s="11" t="str">
        <f aca="false">IF(AND(L252&lt;&gt;"",M252&lt;&gt;""),"yes",IF(OR(L252&lt;&gt;"",M252&lt;&gt;""),"partial","no"))</f>
        <v>no</v>
      </c>
    </row>
    <row r="253" customFormat="false" ht="15" hidden="false" customHeight="true" outlineLevel="0" collapsed="false">
      <c r="A253" s="11" t="s">
        <v>10</v>
      </c>
      <c r="B253" s="11" t="s">
        <v>839</v>
      </c>
      <c r="C253" s="11" t="s">
        <v>840</v>
      </c>
      <c r="D253" s="11" t="s">
        <v>838</v>
      </c>
      <c r="E253" s="11" t="s">
        <v>435</v>
      </c>
      <c r="F253" s="11"/>
      <c r="G253" s="11" t="s">
        <v>437</v>
      </c>
      <c r="H253" s="11" t="s">
        <v>438</v>
      </c>
      <c r="I253" s="11"/>
      <c r="J253" s="12" t="s">
        <v>439</v>
      </c>
      <c r="K253" s="12" t="s">
        <v>439</v>
      </c>
      <c r="L253" s="13"/>
      <c r="M253" s="13"/>
      <c r="N253" s="11" t="str">
        <f aca="false">IF(AND(L253&lt;&gt;"",M253&lt;&gt;""),"yes",IF(OR(L253&lt;&gt;"",M253&lt;&gt;""),"partial","no"))</f>
        <v>no</v>
      </c>
    </row>
    <row r="254" customFormat="false" ht="15" hidden="false" customHeight="true" outlineLevel="0" collapsed="false">
      <c r="A254" s="11" t="s">
        <v>10</v>
      </c>
      <c r="B254" s="11" t="s">
        <v>841</v>
      </c>
      <c r="C254" s="11" t="s">
        <v>842</v>
      </c>
      <c r="D254" s="11" t="s">
        <v>838</v>
      </c>
      <c r="E254" s="11" t="s">
        <v>435</v>
      </c>
      <c r="F254" s="11"/>
      <c r="G254" s="11" t="s">
        <v>437</v>
      </c>
      <c r="H254" s="11" t="s">
        <v>438</v>
      </c>
      <c r="I254" s="11"/>
      <c r="J254" s="12" t="s">
        <v>439</v>
      </c>
      <c r="K254" s="12" t="s">
        <v>439</v>
      </c>
      <c r="L254" s="13"/>
      <c r="M254" s="13"/>
      <c r="N254" s="11" t="str">
        <f aca="false">IF(AND(L254&lt;&gt;"",M254&lt;&gt;""),"yes",IF(OR(L254&lt;&gt;"",M254&lt;&gt;""),"partial","no"))</f>
        <v>no</v>
      </c>
    </row>
    <row r="255" customFormat="false" ht="15" hidden="false" customHeight="true" outlineLevel="0" collapsed="false">
      <c r="A255" s="11" t="s">
        <v>10</v>
      </c>
      <c r="B255" s="11" t="s">
        <v>843</v>
      </c>
      <c r="C255" s="11" t="s">
        <v>844</v>
      </c>
      <c r="D255" s="11" t="s">
        <v>838</v>
      </c>
      <c r="E255" s="11" t="s">
        <v>435</v>
      </c>
      <c r="F255" s="11"/>
      <c r="G255" s="11" t="s">
        <v>437</v>
      </c>
      <c r="H255" s="11" t="s">
        <v>438</v>
      </c>
      <c r="I255" s="11"/>
      <c r="J255" s="12" t="s">
        <v>439</v>
      </c>
      <c r="K255" s="12" t="s">
        <v>439</v>
      </c>
      <c r="L255" s="13"/>
      <c r="M255" s="13"/>
      <c r="N255" s="11" t="str">
        <f aca="false">IF(AND(L255&lt;&gt;"",M255&lt;&gt;""),"yes",IF(OR(L255&lt;&gt;"",M255&lt;&gt;""),"partial","no"))</f>
        <v>no</v>
      </c>
    </row>
    <row r="256" customFormat="false" ht="15" hidden="false" customHeight="true" outlineLevel="0" collapsed="false">
      <c r="A256" s="11" t="s">
        <v>10</v>
      </c>
      <c r="B256" s="11" t="s">
        <v>845</v>
      </c>
      <c r="C256" s="11" t="s">
        <v>846</v>
      </c>
      <c r="D256" s="11" t="s">
        <v>847</v>
      </c>
      <c r="E256" s="11" t="s">
        <v>435</v>
      </c>
      <c r="F256" s="11"/>
      <c r="G256" s="11" t="s">
        <v>437</v>
      </c>
      <c r="H256" s="11" t="s">
        <v>438</v>
      </c>
      <c r="I256" s="11"/>
      <c r="J256" s="12" t="s">
        <v>439</v>
      </c>
      <c r="K256" s="12" t="s">
        <v>439</v>
      </c>
      <c r="L256" s="13"/>
      <c r="M256" s="13"/>
      <c r="N256" s="11" t="str">
        <f aca="false">IF(AND(L256&lt;&gt;"",M256&lt;&gt;""),"yes",IF(OR(L256&lt;&gt;"",M256&lt;&gt;""),"partial","no"))</f>
        <v>no</v>
      </c>
    </row>
    <row r="257" customFormat="false" ht="15" hidden="false" customHeight="true" outlineLevel="0" collapsed="false">
      <c r="A257" s="11" t="s">
        <v>10</v>
      </c>
      <c r="B257" s="11" t="s">
        <v>848</v>
      </c>
      <c r="C257" s="11" t="s">
        <v>849</v>
      </c>
      <c r="D257" s="11" t="s">
        <v>847</v>
      </c>
      <c r="E257" s="11" t="s">
        <v>435</v>
      </c>
      <c r="F257" s="11"/>
      <c r="G257" s="11" t="s">
        <v>437</v>
      </c>
      <c r="H257" s="11" t="s">
        <v>438</v>
      </c>
      <c r="I257" s="11"/>
      <c r="J257" s="12" t="s">
        <v>439</v>
      </c>
      <c r="K257" s="12" t="s">
        <v>439</v>
      </c>
      <c r="L257" s="13"/>
      <c r="M257" s="13"/>
      <c r="N257" s="11" t="str">
        <f aca="false">IF(AND(L257&lt;&gt;"",M257&lt;&gt;""),"yes",IF(OR(L257&lt;&gt;"",M257&lt;&gt;""),"partial","no"))</f>
        <v>no</v>
      </c>
    </row>
    <row r="258" customFormat="false" ht="15" hidden="false" customHeight="true" outlineLevel="0" collapsed="false">
      <c r="A258" s="11" t="s">
        <v>10</v>
      </c>
      <c r="B258" s="11" t="s">
        <v>850</v>
      </c>
      <c r="C258" s="11" t="s">
        <v>851</v>
      </c>
      <c r="D258" s="11" t="s">
        <v>847</v>
      </c>
      <c r="E258" s="11" t="s">
        <v>435</v>
      </c>
      <c r="F258" s="11"/>
      <c r="G258" s="11" t="s">
        <v>437</v>
      </c>
      <c r="H258" s="11" t="s">
        <v>438</v>
      </c>
      <c r="I258" s="11"/>
      <c r="J258" s="12" t="s">
        <v>439</v>
      </c>
      <c r="K258" s="12" t="s">
        <v>439</v>
      </c>
      <c r="L258" s="13"/>
      <c r="M258" s="13"/>
      <c r="N258" s="11" t="str">
        <f aca="false">IF(AND(L258&lt;&gt;"",M258&lt;&gt;""),"yes",IF(OR(L258&lt;&gt;"",M258&lt;&gt;""),"partial","no"))</f>
        <v>no</v>
      </c>
    </row>
    <row r="259" customFormat="false" ht="15" hidden="false" customHeight="true" outlineLevel="0" collapsed="false">
      <c r="A259" s="11" t="s">
        <v>10</v>
      </c>
      <c r="B259" s="11" t="s">
        <v>852</v>
      </c>
      <c r="C259" s="11" t="s">
        <v>853</v>
      </c>
      <c r="D259" s="11" t="s">
        <v>847</v>
      </c>
      <c r="E259" s="11" t="s">
        <v>435</v>
      </c>
      <c r="F259" s="11"/>
      <c r="G259" s="11" t="s">
        <v>437</v>
      </c>
      <c r="H259" s="11" t="s">
        <v>438</v>
      </c>
      <c r="I259" s="11"/>
      <c r="J259" s="12" t="s">
        <v>439</v>
      </c>
      <c r="K259" s="12" t="s">
        <v>439</v>
      </c>
      <c r="L259" s="13"/>
      <c r="M259" s="13"/>
      <c r="N259" s="11" t="str">
        <f aca="false">IF(AND(L259&lt;&gt;"",M259&lt;&gt;""),"yes",IF(OR(L259&lt;&gt;"",M259&lt;&gt;""),"partial","no"))</f>
        <v>no</v>
      </c>
    </row>
    <row r="260" customFormat="false" ht="15" hidden="false" customHeight="true" outlineLevel="0" collapsed="false">
      <c r="A260" s="11" t="s">
        <v>10</v>
      </c>
      <c r="B260" s="11" t="s">
        <v>854</v>
      </c>
      <c r="C260" s="11" t="s">
        <v>855</v>
      </c>
      <c r="D260" s="11" t="s">
        <v>442</v>
      </c>
      <c r="E260" s="11" t="s">
        <v>435</v>
      </c>
      <c r="F260" s="11"/>
      <c r="G260" s="11" t="s">
        <v>437</v>
      </c>
      <c r="H260" s="11" t="s">
        <v>438</v>
      </c>
      <c r="I260" s="11" t="s">
        <v>444</v>
      </c>
      <c r="J260" s="12" t="s">
        <v>439</v>
      </c>
      <c r="K260" s="12" t="s">
        <v>439</v>
      </c>
      <c r="L260" s="13"/>
      <c r="M260" s="13"/>
      <c r="N260" s="11" t="str">
        <f aca="false">IF(AND(L260&lt;&gt;"",M260&lt;&gt;""),"yes",IF(OR(L260&lt;&gt;"",M260&lt;&gt;""),"partial","no"))</f>
        <v>no</v>
      </c>
    </row>
    <row r="261" customFormat="false" ht="15" hidden="false" customHeight="true" outlineLevel="0" collapsed="false">
      <c r="A261" s="11" t="s">
        <v>10</v>
      </c>
      <c r="B261" s="11" t="s">
        <v>856</v>
      </c>
      <c r="C261" s="11" t="s">
        <v>857</v>
      </c>
      <c r="D261" s="11" t="s">
        <v>445</v>
      </c>
      <c r="E261" s="11" t="s">
        <v>435</v>
      </c>
      <c r="F261" s="11"/>
      <c r="G261" s="11" t="s">
        <v>437</v>
      </c>
      <c r="H261" s="11" t="s">
        <v>438</v>
      </c>
      <c r="I261" s="11" t="s">
        <v>444</v>
      </c>
      <c r="J261" s="12" t="s">
        <v>439</v>
      </c>
      <c r="K261" s="12" t="s">
        <v>439</v>
      </c>
      <c r="L261" s="13"/>
      <c r="M261" s="13"/>
      <c r="N261" s="11" t="str">
        <f aca="false">IF(AND(L261&lt;&gt;"",M261&lt;&gt;""),"yes",IF(OR(L261&lt;&gt;"",M261&lt;&gt;""),"partial","no"))</f>
        <v>no</v>
      </c>
    </row>
    <row r="262" customFormat="false" ht="15" hidden="false" customHeight="true" outlineLevel="0" collapsed="false">
      <c r="A262" s="11" t="s">
        <v>10</v>
      </c>
      <c r="B262" s="11" t="s">
        <v>858</v>
      </c>
      <c r="C262" s="11" t="s">
        <v>859</v>
      </c>
      <c r="D262" s="11" t="s">
        <v>860</v>
      </c>
      <c r="E262" s="11" t="s">
        <v>435</v>
      </c>
      <c r="F262" s="11"/>
      <c r="G262" s="11" t="s">
        <v>437</v>
      </c>
      <c r="H262" s="11" t="s">
        <v>438</v>
      </c>
      <c r="I262" s="11"/>
      <c r="J262" s="12" t="s">
        <v>439</v>
      </c>
      <c r="K262" s="12" t="s">
        <v>439</v>
      </c>
      <c r="L262" s="13"/>
      <c r="M262" s="13"/>
      <c r="N262" s="11" t="str">
        <f aca="false">IF(AND(L262&lt;&gt;"",M262&lt;&gt;""),"yes",IF(OR(L262&lt;&gt;"",M262&lt;&gt;""),"partial","no"))</f>
        <v>no</v>
      </c>
    </row>
    <row r="263" customFormat="false" ht="15" hidden="false" customHeight="true" outlineLevel="0" collapsed="false">
      <c r="A263" s="11" t="s">
        <v>10</v>
      </c>
      <c r="B263" s="11" t="s">
        <v>861</v>
      </c>
      <c r="C263" s="11" t="s">
        <v>862</v>
      </c>
      <c r="D263" s="11" t="s">
        <v>860</v>
      </c>
      <c r="E263" s="11" t="s">
        <v>435</v>
      </c>
      <c r="F263" s="11"/>
      <c r="G263" s="11" t="s">
        <v>437</v>
      </c>
      <c r="H263" s="11" t="s">
        <v>438</v>
      </c>
      <c r="I263" s="11"/>
      <c r="J263" s="12" t="s">
        <v>439</v>
      </c>
      <c r="K263" s="12" t="s">
        <v>439</v>
      </c>
      <c r="L263" s="13"/>
      <c r="M263" s="13"/>
      <c r="N263" s="11" t="str">
        <f aca="false">IF(AND(L263&lt;&gt;"",M263&lt;&gt;""),"yes",IF(OR(L263&lt;&gt;"",M263&lt;&gt;""),"partial","no"))</f>
        <v>no</v>
      </c>
    </row>
    <row r="264" customFormat="false" ht="15" hidden="false" customHeight="true" outlineLevel="0" collapsed="false">
      <c r="A264" s="11" t="s">
        <v>10</v>
      </c>
      <c r="B264" s="11" t="s">
        <v>863</v>
      </c>
      <c r="C264" s="11" t="s">
        <v>864</v>
      </c>
      <c r="D264" s="11" t="s">
        <v>553</v>
      </c>
      <c r="E264" s="11" t="s">
        <v>435</v>
      </c>
      <c r="F264" s="11"/>
      <c r="G264" s="11" t="s">
        <v>437</v>
      </c>
      <c r="H264" s="11" t="s">
        <v>438</v>
      </c>
      <c r="I264" s="11"/>
      <c r="J264" s="12" t="s">
        <v>439</v>
      </c>
      <c r="K264" s="12" t="s">
        <v>439</v>
      </c>
      <c r="L264" s="13"/>
      <c r="M264" s="13"/>
      <c r="N264" s="11" t="str">
        <f aca="false">IF(AND(L264&lt;&gt;"",M264&lt;&gt;""),"yes",IF(OR(L264&lt;&gt;"",M264&lt;&gt;""),"partial","no"))</f>
        <v>no</v>
      </c>
    </row>
    <row r="265" customFormat="false" ht="15" hidden="false" customHeight="true" outlineLevel="0" collapsed="false">
      <c r="A265" s="11" t="s">
        <v>10</v>
      </c>
      <c r="B265" s="11" t="s">
        <v>865</v>
      </c>
      <c r="C265" s="11" t="s">
        <v>866</v>
      </c>
      <c r="D265" s="11" t="s">
        <v>556</v>
      </c>
      <c r="E265" s="11" t="s">
        <v>435</v>
      </c>
      <c r="F265" s="11"/>
      <c r="G265" s="11" t="s">
        <v>437</v>
      </c>
      <c r="H265" s="11" t="s">
        <v>438</v>
      </c>
      <c r="I265" s="11"/>
      <c r="J265" s="12" t="s">
        <v>439</v>
      </c>
      <c r="K265" s="12" t="s">
        <v>439</v>
      </c>
      <c r="L265" s="13"/>
      <c r="M265" s="13"/>
      <c r="N265" s="11" t="str">
        <f aca="false">IF(AND(L265&lt;&gt;"",M265&lt;&gt;""),"yes",IF(OR(L265&lt;&gt;"",M265&lt;&gt;""),"partial","no"))</f>
        <v>no</v>
      </c>
    </row>
    <row r="266" customFormat="false" ht="15" hidden="false" customHeight="true" outlineLevel="0" collapsed="false">
      <c r="A266" s="11" t="s">
        <v>10</v>
      </c>
      <c r="B266" s="11" t="s">
        <v>867</v>
      </c>
      <c r="C266" s="11" t="s">
        <v>868</v>
      </c>
      <c r="D266" s="11" t="s">
        <v>869</v>
      </c>
      <c r="E266" s="11" t="s">
        <v>435</v>
      </c>
      <c r="F266" s="11"/>
      <c r="G266" s="11" t="s">
        <v>437</v>
      </c>
      <c r="H266" s="11" t="s">
        <v>438</v>
      </c>
      <c r="I266" s="11"/>
      <c r="J266" s="12" t="s">
        <v>439</v>
      </c>
      <c r="K266" s="12" t="s">
        <v>439</v>
      </c>
      <c r="L266" s="13"/>
      <c r="M266" s="13"/>
      <c r="N266" s="11" t="str">
        <f aca="false">IF(AND(L266&lt;&gt;"",M266&lt;&gt;""),"yes",IF(OR(L266&lt;&gt;"",M266&lt;&gt;""),"partial","no"))</f>
        <v>no</v>
      </c>
    </row>
    <row r="267" customFormat="false" ht="15" hidden="false" customHeight="true" outlineLevel="0" collapsed="false">
      <c r="A267" s="11" t="s">
        <v>10</v>
      </c>
      <c r="B267" s="11" t="s">
        <v>870</v>
      </c>
      <c r="C267" s="11" t="s">
        <v>871</v>
      </c>
      <c r="D267" s="11" t="s">
        <v>869</v>
      </c>
      <c r="E267" s="11" t="s">
        <v>435</v>
      </c>
      <c r="F267" s="11"/>
      <c r="G267" s="11" t="s">
        <v>437</v>
      </c>
      <c r="H267" s="11" t="s">
        <v>438</v>
      </c>
      <c r="I267" s="11"/>
      <c r="J267" s="12" t="s">
        <v>439</v>
      </c>
      <c r="K267" s="12" t="s">
        <v>439</v>
      </c>
      <c r="L267" s="13"/>
      <c r="M267" s="13"/>
      <c r="N267" s="11" t="str">
        <f aca="false">IF(AND(L267&lt;&gt;"",M267&lt;&gt;""),"yes",IF(OR(L267&lt;&gt;"",M267&lt;&gt;""),"partial","no"))</f>
        <v>no</v>
      </c>
    </row>
    <row r="268" customFormat="false" ht="15" hidden="false" customHeight="true" outlineLevel="0" collapsed="false">
      <c r="A268" s="11" t="s">
        <v>10</v>
      </c>
      <c r="B268" s="11" t="s">
        <v>872</v>
      </c>
      <c r="C268" s="11" t="s">
        <v>873</v>
      </c>
      <c r="D268" s="11" t="s">
        <v>563</v>
      </c>
      <c r="E268" s="11" t="s">
        <v>435</v>
      </c>
      <c r="F268" s="11"/>
      <c r="G268" s="11" t="s">
        <v>437</v>
      </c>
      <c r="H268" s="11" t="s">
        <v>438</v>
      </c>
      <c r="I268" s="11"/>
      <c r="J268" s="12" t="s">
        <v>439</v>
      </c>
      <c r="K268" s="12" t="s">
        <v>439</v>
      </c>
      <c r="L268" s="13"/>
      <c r="M268" s="13"/>
      <c r="N268" s="11" t="str">
        <f aca="false">IF(AND(L268&lt;&gt;"",M268&lt;&gt;""),"yes",IF(OR(L268&lt;&gt;"",M268&lt;&gt;""),"partial","no"))</f>
        <v>no</v>
      </c>
    </row>
    <row r="269" customFormat="false" ht="15" hidden="false" customHeight="true" outlineLevel="0" collapsed="false">
      <c r="A269" s="11" t="s">
        <v>10</v>
      </c>
      <c r="B269" s="11" t="s">
        <v>874</v>
      </c>
      <c r="C269" s="11" t="s">
        <v>875</v>
      </c>
      <c r="D269" s="11" t="s">
        <v>563</v>
      </c>
      <c r="E269" s="11" t="s">
        <v>435</v>
      </c>
      <c r="F269" s="11"/>
      <c r="G269" s="11" t="s">
        <v>437</v>
      </c>
      <c r="H269" s="11" t="s">
        <v>438</v>
      </c>
      <c r="I269" s="11"/>
      <c r="J269" s="12" t="s">
        <v>439</v>
      </c>
      <c r="K269" s="12" t="s">
        <v>439</v>
      </c>
      <c r="L269" s="13"/>
      <c r="M269" s="13"/>
      <c r="N269" s="11" t="str">
        <f aca="false">IF(AND(L269&lt;&gt;"",M269&lt;&gt;""),"yes",IF(OR(L269&lt;&gt;"",M269&lt;&gt;""),"partial","no"))</f>
        <v>no</v>
      </c>
    </row>
    <row r="270" customFormat="false" ht="15" hidden="false" customHeight="true" outlineLevel="0" collapsed="false">
      <c r="A270" s="11" t="s">
        <v>10</v>
      </c>
      <c r="B270" s="11" t="s">
        <v>876</v>
      </c>
      <c r="C270" s="11" t="s">
        <v>877</v>
      </c>
      <c r="D270" s="11" t="s">
        <v>566</v>
      </c>
      <c r="E270" s="11" t="s">
        <v>435</v>
      </c>
      <c r="F270" s="11"/>
      <c r="G270" s="11" t="s">
        <v>437</v>
      </c>
      <c r="H270" s="11" t="s">
        <v>438</v>
      </c>
      <c r="I270" s="11"/>
      <c r="J270" s="12" t="s">
        <v>439</v>
      </c>
      <c r="K270" s="12" t="s">
        <v>439</v>
      </c>
      <c r="L270" s="13"/>
      <c r="M270" s="13"/>
      <c r="N270" s="11" t="str">
        <f aca="false">IF(AND(L270&lt;&gt;"",M270&lt;&gt;""),"yes",IF(OR(L270&lt;&gt;"",M270&lt;&gt;""),"partial","no"))</f>
        <v>no</v>
      </c>
    </row>
    <row r="271" customFormat="false" ht="15" hidden="false" customHeight="true" outlineLevel="0" collapsed="false">
      <c r="A271" s="11" t="s">
        <v>10</v>
      </c>
      <c r="B271" s="11" t="s">
        <v>878</v>
      </c>
      <c r="C271" s="11" t="s">
        <v>879</v>
      </c>
      <c r="D271" s="11" t="s">
        <v>880</v>
      </c>
      <c r="E271" s="11" t="s">
        <v>435</v>
      </c>
      <c r="F271" s="11"/>
      <c r="G271" s="11" t="s">
        <v>437</v>
      </c>
      <c r="H271" s="11" t="s">
        <v>438</v>
      </c>
      <c r="I271" s="11"/>
      <c r="J271" s="12" t="s">
        <v>439</v>
      </c>
      <c r="K271" s="12" t="s">
        <v>439</v>
      </c>
      <c r="L271" s="13"/>
      <c r="M271" s="13"/>
      <c r="N271" s="11" t="str">
        <f aca="false">IF(AND(L271&lt;&gt;"",M271&lt;&gt;""),"yes",IF(OR(L271&lt;&gt;"",M271&lt;&gt;""),"partial","no"))</f>
        <v>no</v>
      </c>
    </row>
    <row r="272" customFormat="false" ht="15" hidden="false" customHeight="true" outlineLevel="0" collapsed="false">
      <c r="A272" s="11" t="s">
        <v>10</v>
      </c>
      <c r="B272" s="11" t="s">
        <v>881</v>
      </c>
      <c r="C272" s="11" t="s">
        <v>882</v>
      </c>
      <c r="D272" s="11" t="s">
        <v>880</v>
      </c>
      <c r="E272" s="11" t="s">
        <v>435</v>
      </c>
      <c r="F272" s="11"/>
      <c r="G272" s="11" t="s">
        <v>437</v>
      </c>
      <c r="H272" s="11" t="s">
        <v>438</v>
      </c>
      <c r="I272" s="11"/>
      <c r="J272" s="12" t="s">
        <v>439</v>
      </c>
      <c r="K272" s="12" t="s">
        <v>439</v>
      </c>
      <c r="L272" s="13"/>
      <c r="M272" s="13"/>
      <c r="N272" s="11" t="str">
        <f aca="false">IF(AND(L272&lt;&gt;"",M272&lt;&gt;""),"yes",IF(OR(L272&lt;&gt;"",M272&lt;&gt;""),"partial","no"))</f>
        <v>no</v>
      </c>
    </row>
    <row r="273" customFormat="false" ht="15" hidden="false" customHeight="true" outlineLevel="0" collapsed="false">
      <c r="A273" s="11" t="s">
        <v>10</v>
      </c>
      <c r="B273" s="11" t="s">
        <v>883</v>
      </c>
      <c r="C273" s="11" t="s">
        <v>884</v>
      </c>
      <c r="D273" s="11" t="s">
        <v>880</v>
      </c>
      <c r="E273" s="11" t="s">
        <v>435</v>
      </c>
      <c r="F273" s="11"/>
      <c r="G273" s="11" t="s">
        <v>437</v>
      </c>
      <c r="H273" s="11" t="s">
        <v>438</v>
      </c>
      <c r="I273" s="11"/>
      <c r="J273" s="12" t="s">
        <v>439</v>
      </c>
      <c r="K273" s="12" t="s">
        <v>439</v>
      </c>
      <c r="L273" s="13"/>
      <c r="M273" s="13"/>
      <c r="N273" s="11" t="str">
        <f aca="false">IF(AND(L273&lt;&gt;"",M273&lt;&gt;""),"yes",IF(OR(L273&lt;&gt;"",M273&lt;&gt;""),"partial","no"))</f>
        <v>no</v>
      </c>
    </row>
    <row r="274" customFormat="false" ht="15" hidden="false" customHeight="true" outlineLevel="0" collapsed="false">
      <c r="A274" s="11" t="s">
        <v>10</v>
      </c>
      <c r="B274" s="11" t="s">
        <v>885</v>
      </c>
      <c r="C274" s="11" t="s">
        <v>886</v>
      </c>
      <c r="D274" s="11" t="s">
        <v>575</v>
      </c>
      <c r="E274" s="11" t="s">
        <v>435</v>
      </c>
      <c r="F274" s="11"/>
      <c r="G274" s="11" t="s">
        <v>437</v>
      </c>
      <c r="H274" s="11" t="s">
        <v>438</v>
      </c>
      <c r="I274" s="11"/>
      <c r="J274" s="12" t="s">
        <v>439</v>
      </c>
      <c r="K274" s="12" t="s">
        <v>439</v>
      </c>
      <c r="L274" s="13"/>
      <c r="M274" s="13"/>
      <c r="N274" s="11" t="str">
        <f aca="false">IF(AND(L274&lt;&gt;"",M274&lt;&gt;""),"yes",IF(OR(L274&lt;&gt;"",M274&lt;&gt;""),"partial","no"))</f>
        <v>no</v>
      </c>
    </row>
    <row r="275" customFormat="false" ht="15" hidden="false" customHeight="true" outlineLevel="0" collapsed="false">
      <c r="A275" s="11" t="s">
        <v>10</v>
      </c>
      <c r="B275" s="11" t="s">
        <v>887</v>
      </c>
      <c r="C275" s="11" t="s">
        <v>888</v>
      </c>
      <c r="D275" s="11" t="s">
        <v>889</v>
      </c>
      <c r="E275" s="11" t="s">
        <v>435</v>
      </c>
      <c r="F275" s="11"/>
      <c r="G275" s="11" t="s">
        <v>437</v>
      </c>
      <c r="H275" s="11" t="s">
        <v>438</v>
      </c>
      <c r="I275" s="11"/>
      <c r="J275" s="12" t="s">
        <v>439</v>
      </c>
      <c r="K275" s="12" t="s">
        <v>439</v>
      </c>
      <c r="L275" s="13"/>
      <c r="M275" s="13"/>
      <c r="N275" s="11" t="str">
        <f aca="false">IF(AND(L275&lt;&gt;"",M275&lt;&gt;""),"yes",IF(OR(L275&lt;&gt;"",M275&lt;&gt;""),"partial","no"))</f>
        <v>no</v>
      </c>
    </row>
    <row r="276" customFormat="false" ht="15" hidden="false" customHeight="true" outlineLevel="0" collapsed="false">
      <c r="A276" s="11" t="s">
        <v>10</v>
      </c>
      <c r="B276" s="11" t="s">
        <v>890</v>
      </c>
      <c r="C276" s="11" t="s">
        <v>891</v>
      </c>
      <c r="D276" s="11" t="s">
        <v>889</v>
      </c>
      <c r="E276" s="11" t="s">
        <v>435</v>
      </c>
      <c r="F276" s="11"/>
      <c r="G276" s="11" t="s">
        <v>437</v>
      </c>
      <c r="H276" s="11" t="s">
        <v>438</v>
      </c>
      <c r="I276" s="11"/>
      <c r="J276" s="12" t="s">
        <v>439</v>
      </c>
      <c r="K276" s="12" t="s">
        <v>439</v>
      </c>
      <c r="L276" s="13"/>
      <c r="M276" s="13"/>
      <c r="N276" s="11" t="str">
        <f aca="false">IF(AND(L276&lt;&gt;"",M276&lt;&gt;""),"yes",IF(OR(L276&lt;&gt;"",M276&lt;&gt;""),"partial","no"))</f>
        <v>no</v>
      </c>
    </row>
    <row r="277" customFormat="false" ht="15" hidden="false" customHeight="true" outlineLevel="0" collapsed="false">
      <c r="A277" s="11" t="s">
        <v>10</v>
      </c>
      <c r="B277" s="11" t="s">
        <v>892</v>
      </c>
      <c r="C277" s="11" t="s">
        <v>893</v>
      </c>
      <c r="D277" s="11" t="s">
        <v>584</v>
      </c>
      <c r="E277" s="11" t="s">
        <v>435</v>
      </c>
      <c r="F277" s="11"/>
      <c r="G277" s="11" t="s">
        <v>437</v>
      </c>
      <c r="H277" s="11" t="s">
        <v>438</v>
      </c>
      <c r="I277" s="11"/>
      <c r="J277" s="12" t="s">
        <v>439</v>
      </c>
      <c r="K277" s="12" t="s">
        <v>439</v>
      </c>
      <c r="L277" s="13"/>
      <c r="M277" s="13"/>
      <c r="N277" s="11" t="str">
        <f aca="false">IF(AND(L277&lt;&gt;"",M277&lt;&gt;""),"yes",IF(OR(L277&lt;&gt;"",M277&lt;&gt;""),"partial","no"))</f>
        <v>no</v>
      </c>
    </row>
    <row r="278" customFormat="false" ht="15" hidden="false" customHeight="true" outlineLevel="0" collapsed="false">
      <c r="A278" s="11" t="s">
        <v>10</v>
      </c>
      <c r="B278" s="11" t="s">
        <v>894</v>
      </c>
      <c r="C278" s="11" t="s">
        <v>895</v>
      </c>
      <c r="D278" s="11" t="s">
        <v>587</v>
      </c>
      <c r="E278" s="11" t="s">
        <v>435</v>
      </c>
      <c r="F278" s="11"/>
      <c r="G278" s="11" t="s">
        <v>437</v>
      </c>
      <c r="H278" s="11" t="s">
        <v>438</v>
      </c>
      <c r="I278" s="11"/>
      <c r="J278" s="12" t="s">
        <v>439</v>
      </c>
      <c r="K278" s="12" t="s">
        <v>439</v>
      </c>
      <c r="L278" s="13"/>
      <c r="M278" s="13"/>
      <c r="N278" s="11" t="str">
        <f aca="false">IF(AND(L278&lt;&gt;"",M278&lt;&gt;""),"yes",IF(OR(L278&lt;&gt;"",M278&lt;&gt;""),"partial","no"))</f>
        <v>no</v>
      </c>
    </row>
    <row r="279" customFormat="false" ht="15" hidden="false" customHeight="true" outlineLevel="0" collapsed="false">
      <c r="A279" s="11" t="s">
        <v>10</v>
      </c>
      <c r="B279" s="11" t="s">
        <v>896</v>
      </c>
      <c r="C279" s="11" t="s">
        <v>897</v>
      </c>
      <c r="D279" s="11" t="s">
        <v>592</v>
      </c>
      <c r="E279" s="11" t="s">
        <v>435</v>
      </c>
      <c r="F279" s="11"/>
      <c r="G279" s="11" t="s">
        <v>437</v>
      </c>
      <c r="H279" s="11" t="s">
        <v>438</v>
      </c>
      <c r="I279" s="11"/>
      <c r="J279" s="12" t="s">
        <v>439</v>
      </c>
      <c r="K279" s="12" t="s">
        <v>439</v>
      </c>
      <c r="L279" s="13"/>
      <c r="M279" s="13"/>
      <c r="N279" s="11" t="str">
        <f aca="false">IF(AND(L279&lt;&gt;"",M279&lt;&gt;""),"yes",IF(OR(L279&lt;&gt;"",M279&lt;&gt;""),"partial","no"))</f>
        <v>no</v>
      </c>
    </row>
    <row r="280" customFormat="false" ht="15" hidden="false" customHeight="true" outlineLevel="0" collapsed="false">
      <c r="A280" s="11" t="s">
        <v>10</v>
      </c>
      <c r="B280" s="11" t="s">
        <v>898</v>
      </c>
      <c r="C280" s="11" t="s">
        <v>899</v>
      </c>
      <c r="D280" s="11" t="s">
        <v>592</v>
      </c>
      <c r="E280" s="11" t="s">
        <v>435</v>
      </c>
      <c r="F280" s="11"/>
      <c r="G280" s="11" t="s">
        <v>437</v>
      </c>
      <c r="H280" s="11" t="s">
        <v>438</v>
      </c>
      <c r="I280" s="11"/>
      <c r="J280" s="12" t="s">
        <v>439</v>
      </c>
      <c r="K280" s="12" t="s">
        <v>439</v>
      </c>
      <c r="L280" s="13"/>
      <c r="M280" s="13"/>
      <c r="N280" s="11" t="str">
        <f aca="false">IF(AND(L280&lt;&gt;"",M280&lt;&gt;""),"yes",IF(OR(L280&lt;&gt;"",M280&lt;&gt;""),"partial","no"))</f>
        <v>no</v>
      </c>
    </row>
    <row r="281" customFormat="false" ht="15" hidden="false" customHeight="true" outlineLevel="0" collapsed="false">
      <c r="A281" s="11" t="s">
        <v>10</v>
      </c>
      <c r="B281" s="11" t="s">
        <v>900</v>
      </c>
      <c r="C281" s="11" t="s">
        <v>901</v>
      </c>
      <c r="D281" s="11" t="s">
        <v>592</v>
      </c>
      <c r="E281" s="11" t="s">
        <v>435</v>
      </c>
      <c r="F281" s="11"/>
      <c r="G281" s="11" t="s">
        <v>437</v>
      </c>
      <c r="H281" s="11" t="s">
        <v>438</v>
      </c>
      <c r="I281" s="11"/>
      <c r="J281" s="12" t="s">
        <v>439</v>
      </c>
      <c r="K281" s="12" t="s">
        <v>439</v>
      </c>
      <c r="L281" s="13"/>
      <c r="M281" s="13"/>
      <c r="N281" s="11" t="str">
        <f aca="false">IF(AND(L281&lt;&gt;"",M281&lt;&gt;""),"yes",IF(OR(L281&lt;&gt;"",M281&lt;&gt;""),"partial","no"))</f>
        <v>no</v>
      </c>
    </row>
    <row r="282" customFormat="false" ht="15" hidden="false" customHeight="true" outlineLevel="0" collapsed="false">
      <c r="A282" s="11" t="s">
        <v>10</v>
      </c>
      <c r="B282" s="11" t="s">
        <v>902</v>
      </c>
      <c r="C282" s="11" t="s">
        <v>903</v>
      </c>
      <c r="D282" s="11" t="s">
        <v>592</v>
      </c>
      <c r="E282" s="11" t="s">
        <v>435</v>
      </c>
      <c r="F282" s="11"/>
      <c r="G282" s="11" t="s">
        <v>437</v>
      </c>
      <c r="H282" s="11" t="s">
        <v>438</v>
      </c>
      <c r="I282" s="11"/>
      <c r="J282" s="12" t="s">
        <v>439</v>
      </c>
      <c r="K282" s="12" t="s">
        <v>439</v>
      </c>
      <c r="L282" s="13"/>
      <c r="M282" s="13"/>
      <c r="N282" s="11" t="str">
        <f aca="false">IF(AND(L282&lt;&gt;"",M282&lt;&gt;""),"yes",IF(OR(L282&lt;&gt;"",M282&lt;&gt;""),"partial","no"))</f>
        <v>no</v>
      </c>
    </row>
    <row r="283" customFormat="false" ht="15" hidden="false" customHeight="true" outlineLevel="0" collapsed="false">
      <c r="A283" s="11" t="s">
        <v>10</v>
      </c>
      <c r="B283" s="11" t="s">
        <v>904</v>
      </c>
      <c r="C283" s="11" t="s">
        <v>905</v>
      </c>
      <c r="D283" s="11" t="s">
        <v>595</v>
      </c>
      <c r="E283" s="11" t="s">
        <v>435</v>
      </c>
      <c r="F283" s="11"/>
      <c r="G283" s="11" t="s">
        <v>437</v>
      </c>
      <c r="H283" s="11" t="s">
        <v>438</v>
      </c>
      <c r="I283" s="11"/>
      <c r="J283" s="12" t="s">
        <v>439</v>
      </c>
      <c r="K283" s="12" t="s">
        <v>439</v>
      </c>
      <c r="L283" s="13"/>
      <c r="M283" s="13"/>
      <c r="N283" s="11" t="str">
        <f aca="false">IF(AND(L283&lt;&gt;"",M283&lt;&gt;""),"yes",IF(OR(L283&lt;&gt;"",M283&lt;&gt;""),"partial","no"))</f>
        <v>no</v>
      </c>
    </row>
    <row r="284" customFormat="false" ht="15" hidden="false" customHeight="true" outlineLevel="0" collapsed="false">
      <c r="A284" s="11" t="s">
        <v>10</v>
      </c>
      <c r="B284" s="11" t="s">
        <v>906</v>
      </c>
      <c r="C284" s="11" t="s">
        <v>907</v>
      </c>
      <c r="D284" s="11" t="s">
        <v>451</v>
      </c>
      <c r="E284" s="11" t="s">
        <v>435</v>
      </c>
      <c r="F284" s="11"/>
      <c r="G284" s="11" t="s">
        <v>437</v>
      </c>
      <c r="H284" s="11" t="s">
        <v>438</v>
      </c>
      <c r="I284" s="11"/>
      <c r="J284" s="12" t="s">
        <v>439</v>
      </c>
      <c r="K284" s="12" t="s">
        <v>439</v>
      </c>
      <c r="L284" s="13"/>
      <c r="M284" s="13"/>
      <c r="N284" s="11" t="str">
        <f aca="false">IF(AND(L284&lt;&gt;"",M284&lt;&gt;""),"yes",IF(OR(L284&lt;&gt;"",M284&lt;&gt;""),"partial","no"))</f>
        <v>no</v>
      </c>
    </row>
    <row r="285" customFormat="false" ht="15" hidden="false" customHeight="true" outlineLevel="0" collapsed="false">
      <c r="A285" s="11" t="s">
        <v>10</v>
      </c>
      <c r="B285" s="11" t="s">
        <v>908</v>
      </c>
      <c r="C285" s="11" t="s">
        <v>909</v>
      </c>
      <c r="D285" s="11" t="s">
        <v>608</v>
      </c>
      <c r="E285" s="11" t="s">
        <v>435</v>
      </c>
      <c r="F285" s="11"/>
      <c r="G285" s="11" t="s">
        <v>437</v>
      </c>
      <c r="H285" s="11" t="s">
        <v>438</v>
      </c>
      <c r="I285" s="11"/>
      <c r="J285" s="12" t="s">
        <v>439</v>
      </c>
      <c r="K285" s="12" t="s">
        <v>439</v>
      </c>
      <c r="L285" s="13"/>
      <c r="M285" s="13"/>
      <c r="N285" s="11" t="str">
        <f aca="false">IF(AND(L285&lt;&gt;"",M285&lt;&gt;""),"yes",IF(OR(L285&lt;&gt;"",M285&lt;&gt;""),"partial","no"))</f>
        <v>no</v>
      </c>
    </row>
    <row r="286" customFormat="false" ht="15" hidden="false" customHeight="true" outlineLevel="0" collapsed="false">
      <c r="A286" s="11" t="s">
        <v>10</v>
      </c>
      <c r="B286" s="11" t="s">
        <v>910</v>
      </c>
      <c r="C286" s="11" t="s">
        <v>911</v>
      </c>
      <c r="D286" s="11" t="s">
        <v>608</v>
      </c>
      <c r="E286" s="11" t="s">
        <v>435</v>
      </c>
      <c r="F286" s="11"/>
      <c r="G286" s="11" t="s">
        <v>437</v>
      </c>
      <c r="H286" s="11" t="s">
        <v>438</v>
      </c>
      <c r="I286" s="11"/>
      <c r="J286" s="12" t="s">
        <v>439</v>
      </c>
      <c r="K286" s="12" t="s">
        <v>439</v>
      </c>
      <c r="L286" s="13"/>
      <c r="M286" s="13"/>
      <c r="N286" s="11" t="str">
        <f aca="false">IF(AND(L286&lt;&gt;"",M286&lt;&gt;""),"yes",IF(OR(L286&lt;&gt;"",M286&lt;&gt;""),"partial","no"))</f>
        <v>no</v>
      </c>
    </row>
    <row r="287" customFormat="false" ht="15" hidden="false" customHeight="true" outlineLevel="0" collapsed="false">
      <c r="A287" s="11" t="s">
        <v>10</v>
      </c>
      <c r="B287" s="11" t="s">
        <v>912</v>
      </c>
      <c r="C287" s="11" t="s">
        <v>913</v>
      </c>
      <c r="D287" s="11" t="s">
        <v>608</v>
      </c>
      <c r="E287" s="11" t="s">
        <v>435</v>
      </c>
      <c r="F287" s="11"/>
      <c r="G287" s="11" t="s">
        <v>437</v>
      </c>
      <c r="H287" s="11" t="s">
        <v>438</v>
      </c>
      <c r="I287" s="11"/>
      <c r="J287" s="12" t="s">
        <v>439</v>
      </c>
      <c r="K287" s="12" t="s">
        <v>439</v>
      </c>
      <c r="L287" s="13"/>
      <c r="M287" s="13"/>
      <c r="N287" s="11" t="str">
        <f aca="false">IF(AND(L287&lt;&gt;"",M287&lt;&gt;""),"yes",IF(OR(L287&lt;&gt;"",M287&lt;&gt;""),"partial","no"))</f>
        <v>no</v>
      </c>
    </row>
    <row r="288" customFormat="false" ht="15" hidden="false" customHeight="true" outlineLevel="0" collapsed="false">
      <c r="A288" s="11" t="s">
        <v>10</v>
      </c>
      <c r="B288" s="11" t="s">
        <v>914</v>
      </c>
      <c r="C288" s="11" t="s">
        <v>915</v>
      </c>
      <c r="D288" s="11" t="s">
        <v>608</v>
      </c>
      <c r="E288" s="11" t="s">
        <v>435</v>
      </c>
      <c r="F288" s="11"/>
      <c r="G288" s="11" t="s">
        <v>437</v>
      </c>
      <c r="H288" s="11" t="s">
        <v>438</v>
      </c>
      <c r="I288" s="11"/>
      <c r="J288" s="12" t="s">
        <v>439</v>
      </c>
      <c r="K288" s="12" t="s">
        <v>439</v>
      </c>
      <c r="L288" s="13"/>
      <c r="M288" s="13"/>
      <c r="N288" s="11" t="str">
        <f aca="false">IF(AND(L288&lt;&gt;"",M288&lt;&gt;""),"yes",IF(OR(L288&lt;&gt;"",M288&lt;&gt;""),"partial","no"))</f>
        <v>no</v>
      </c>
    </row>
    <row r="289" customFormat="false" ht="15" hidden="false" customHeight="true" outlineLevel="0" collapsed="false">
      <c r="A289" s="11" t="s">
        <v>10</v>
      </c>
      <c r="B289" s="11" t="s">
        <v>916</v>
      </c>
      <c r="C289" s="11" t="s">
        <v>917</v>
      </c>
      <c r="D289" s="11" t="s">
        <v>453</v>
      </c>
      <c r="E289" s="11" t="s">
        <v>435</v>
      </c>
      <c r="F289" s="11"/>
      <c r="G289" s="11" t="s">
        <v>437</v>
      </c>
      <c r="H289" s="11" t="s">
        <v>438</v>
      </c>
      <c r="I289" s="11"/>
      <c r="J289" s="12" t="s">
        <v>439</v>
      </c>
      <c r="K289" s="12" t="s">
        <v>439</v>
      </c>
      <c r="L289" s="13"/>
      <c r="M289" s="13"/>
      <c r="N289" s="11" t="str">
        <f aca="false">IF(AND(L289&lt;&gt;"",M289&lt;&gt;""),"yes",IF(OR(L289&lt;&gt;"",M289&lt;&gt;""),"partial","no"))</f>
        <v>no</v>
      </c>
    </row>
    <row r="290" customFormat="false" ht="15" hidden="false" customHeight="true" outlineLevel="0" collapsed="false">
      <c r="A290" s="11" t="s">
        <v>10</v>
      </c>
      <c r="B290" s="11" t="s">
        <v>918</v>
      </c>
      <c r="C290" s="11" t="s">
        <v>919</v>
      </c>
      <c r="D290" s="11" t="s">
        <v>623</v>
      </c>
      <c r="E290" s="11" t="s">
        <v>435</v>
      </c>
      <c r="F290" s="11"/>
      <c r="G290" s="11" t="s">
        <v>437</v>
      </c>
      <c r="H290" s="11" t="s">
        <v>438</v>
      </c>
      <c r="I290" s="11"/>
      <c r="J290" s="12" t="s">
        <v>439</v>
      </c>
      <c r="K290" s="12" t="s">
        <v>439</v>
      </c>
      <c r="L290" s="13"/>
      <c r="M290" s="13"/>
      <c r="N290" s="11" t="str">
        <f aca="false">IF(AND(L290&lt;&gt;"",M290&lt;&gt;""),"yes",IF(OR(L290&lt;&gt;"",M290&lt;&gt;""),"partial","no"))</f>
        <v>no</v>
      </c>
    </row>
    <row r="291" customFormat="false" ht="15" hidden="false" customHeight="true" outlineLevel="0" collapsed="false">
      <c r="A291" s="11" t="s">
        <v>10</v>
      </c>
      <c r="B291" s="11" t="s">
        <v>920</v>
      </c>
      <c r="C291" s="11" t="s">
        <v>921</v>
      </c>
      <c r="D291" s="11" t="s">
        <v>629</v>
      </c>
      <c r="E291" s="11" t="s">
        <v>435</v>
      </c>
      <c r="F291" s="11"/>
      <c r="G291" s="11" t="s">
        <v>437</v>
      </c>
      <c r="H291" s="11" t="s">
        <v>438</v>
      </c>
      <c r="I291" s="11"/>
      <c r="J291" s="12" t="s">
        <v>439</v>
      </c>
      <c r="K291" s="12" t="s">
        <v>439</v>
      </c>
      <c r="L291" s="13"/>
      <c r="M291" s="13"/>
      <c r="N291" s="11" t="str">
        <f aca="false">IF(AND(L291&lt;&gt;"",M291&lt;&gt;""),"yes",IF(OR(L291&lt;&gt;"",M291&lt;&gt;""),"partial","no"))</f>
        <v>no</v>
      </c>
    </row>
    <row r="292" customFormat="false" ht="15" hidden="false" customHeight="true" outlineLevel="0" collapsed="false">
      <c r="A292" s="11" t="s">
        <v>10</v>
      </c>
      <c r="B292" s="11" t="s">
        <v>922</v>
      </c>
      <c r="C292" s="11" t="s">
        <v>923</v>
      </c>
      <c r="D292" s="11" t="s">
        <v>629</v>
      </c>
      <c r="E292" s="11" t="s">
        <v>435</v>
      </c>
      <c r="F292" s="11"/>
      <c r="G292" s="11" t="s">
        <v>437</v>
      </c>
      <c r="H292" s="11" t="s">
        <v>438</v>
      </c>
      <c r="I292" s="11"/>
      <c r="J292" s="12" t="s">
        <v>439</v>
      </c>
      <c r="K292" s="12" t="s">
        <v>439</v>
      </c>
      <c r="L292" s="13"/>
      <c r="M292" s="13"/>
      <c r="N292" s="11" t="str">
        <f aca="false">IF(AND(L292&lt;&gt;"",M292&lt;&gt;""),"yes",IF(OR(L292&lt;&gt;"",M292&lt;&gt;""),"partial","no"))</f>
        <v>no</v>
      </c>
    </row>
    <row r="293" customFormat="false" ht="15" hidden="false" customHeight="true" outlineLevel="0" collapsed="false">
      <c r="A293" s="11" t="s">
        <v>10</v>
      </c>
      <c r="B293" s="11" t="s">
        <v>924</v>
      </c>
      <c r="C293" s="11" t="s">
        <v>925</v>
      </c>
      <c r="D293" s="11" t="s">
        <v>926</v>
      </c>
      <c r="E293" s="11" t="s">
        <v>435</v>
      </c>
      <c r="F293" s="11"/>
      <c r="G293" s="11" t="s">
        <v>437</v>
      </c>
      <c r="H293" s="11" t="s">
        <v>438</v>
      </c>
      <c r="I293" s="11"/>
      <c r="J293" s="12" t="s">
        <v>439</v>
      </c>
      <c r="K293" s="12" t="s">
        <v>439</v>
      </c>
      <c r="L293" s="13"/>
      <c r="M293" s="13"/>
      <c r="N293" s="11" t="str">
        <f aca="false">IF(AND(L293&lt;&gt;"",M293&lt;&gt;""),"yes",IF(OR(L293&lt;&gt;"",M293&lt;&gt;""),"partial","no"))</f>
        <v>no</v>
      </c>
    </row>
    <row r="294" customFormat="false" ht="15" hidden="false" customHeight="true" outlineLevel="0" collapsed="false">
      <c r="A294" s="11" t="s">
        <v>10</v>
      </c>
      <c r="B294" s="11" t="s">
        <v>927</v>
      </c>
      <c r="C294" s="11" t="s">
        <v>928</v>
      </c>
      <c r="D294" s="11" t="s">
        <v>926</v>
      </c>
      <c r="E294" s="11" t="s">
        <v>435</v>
      </c>
      <c r="F294" s="11"/>
      <c r="G294" s="11" t="s">
        <v>437</v>
      </c>
      <c r="H294" s="11" t="s">
        <v>438</v>
      </c>
      <c r="I294" s="11"/>
      <c r="J294" s="12" t="s">
        <v>439</v>
      </c>
      <c r="K294" s="12" t="s">
        <v>439</v>
      </c>
      <c r="L294" s="13"/>
      <c r="M294" s="13"/>
      <c r="N294" s="11" t="str">
        <f aca="false">IF(AND(L294&lt;&gt;"",M294&lt;&gt;""),"yes",IF(OR(L294&lt;&gt;"",M294&lt;&gt;""),"partial","no"))</f>
        <v>no</v>
      </c>
    </row>
    <row r="295" customFormat="false" ht="15" hidden="false" customHeight="true" outlineLevel="0" collapsed="false">
      <c r="A295" s="11" t="s">
        <v>10</v>
      </c>
      <c r="B295" s="11" t="s">
        <v>929</v>
      </c>
      <c r="C295" s="11" t="s">
        <v>930</v>
      </c>
      <c r="D295" s="11" t="s">
        <v>456</v>
      </c>
      <c r="E295" s="11" t="s">
        <v>435</v>
      </c>
      <c r="F295" s="11"/>
      <c r="G295" s="11" t="s">
        <v>437</v>
      </c>
      <c r="H295" s="11" t="s">
        <v>438</v>
      </c>
      <c r="I295" s="11"/>
      <c r="J295" s="12" t="s">
        <v>439</v>
      </c>
      <c r="K295" s="12" t="s">
        <v>439</v>
      </c>
      <c r="L295" s="13"/>
      <c r="M295" s="13"/>
      <c r="N295" s="11" t="str">
        <f aca="false">IF(AND(L295&lt;&gt;"",M295&lt;&gt;""),"yes",IF(OR(L295&lt;&gt;"",M295&lt;&gt;""),"partial","no"))</f>
        <v>no</v>
      </c>
    </row>
    <row r="296" customFormat="false" ht="15" hidden="false" customHeight="true" outlineLevel="0" collapsed="false">
      <c r="A296" s="11" t="s">
        <v>10</v>
      </c>
      <c r="B296" s="11" t="s">
        <v>931</v>
      </c>
      <c r="C296" s="11" t="s">
        <v>932</v>
      </c>
      <c r="D296" s="11" t="s">
        <v>456</v>
      </c>
      <c r="E296" s="11" t="s">
        <v>435</v>
      </c>
      <c r="F296" s="11"/>
      <c r="G296" s="11" t="s">
        <v>437</v>
      </c>
      <c r="H296" s="11" t="s">
        <v>438</v>
      </c>
      <c r="I296" s="11"/>
      <c r="J296" s="12" t="s">
        <v>439</v>
      </c>
      <c r="K296" s="12" t="s">
        <v>439</v>
      </c>
      <c r="L296" s="13"/>
      <c r="M296" s="13"/>
      <c r="N296" s="11" t="str">
        <f aca="false">IF(AND(L296&lt;&gt;"",M296&lt;&gt;""),"yes",IF(OR(L296&lt;&gt;"",M296&lt;&gt;""),"partial","no"))</f>
        <v>no</v>
      </c>
    </row>
    <row r="297" customFormat="false" ht="15" hidden="false" customHeight="true" outlineLevel="0" collapsed="false">
      <c r="A297" s="11" t="s">
        <v>10</v>
      </c>
      <c r="B297" s="11" t="s">
        <v>933</v>
      </c>
      <c r="C297" s="11" t="s">
        <v>934</v>
      </c>
      <c r="D297" s="11" t="s">
        <v>456</v>
      </c>
      <c r="E297" s="11" t="s">
        <v>435</v>
      </c>
      <c r="F297" s="11"/>
      <c r="G297" s="11" t="s">
        <v>437</v>
      </c>
      <c r="H297" s="11" t="s">
        <v>438</v>
      </c>
      <c r="I297" s="11"/>
      <c r="J297" s="12" t="s">
        <v>439</v>
      </c>
      <c r="K297" s="12" t="s">
        <v>439</v>
      </c>
      <c r="L297" s="13"/>
      <c r="M297" s="13"/>
      <c r="N297" s="11" t="str">
        <f aca="false">IF(AND(L297&lt;&gt;"",M297&lt;&gt;""),"yes",IF(OR(L297&lt;&gt;"",M297&lt;&gt;""),"partial","no"))</f>
        <v>no</v>
      </c>
    </row>
    <row r="298" customFormat="false" ht="15" hidden="false" customHeight="true" outlineLevel="0" collapsed="false">
      <c r="A298" s="11" t="s">
        <v>10</v>
      </c>
      <c r="B298" s="11" t="s">
        <v>935</v>
      </c>
      <c r="C298" s="11" t="s">
        <v>936</v>
      </c>
      <c r="D298" s="11" t="s">
        <v>456</v>
      </c>
      <c r="E298" s="11" t="s">
        <v>435</v>
      </c>
      <c r="F298" s="11"/>
      <c r="G298" s="11" t="s">
        <v>437</v>
      </c>
      <c r="H298" s="11" t="s">
        <v>438</v>
      </c>
      <c r="I298" s="11"/>
      <c r="J298" s="12" t="s">
        <v>439</v>
      </c>
      <c r="K298" s="12" t="s">
        <v>439</v>
      </c>
      <c r="L298" s="13"/>
      <c r="M298" s="13"/>
      <c r="N298" s="11" t="str">
        <f aca="false">IF(AND(L298&lt;&gt;"",M298&lt;&gt;""),"yes",IF(OR(L298&lt;&gt;"",M298&lt;&gt;""),"partial","no"))</f>
        <v>no</v>
      </c>
    </row>
    <row r="299" customFormat="false" ht="15" hidden="false" customHeight="true" outlineLevel="0" collapsed="false">
      <c r="A299" s="11" t="s">
        <v>10</v>
      </c>
      <c r="B299" s="11" t="s">
        <v>937</v>
      </c>
      <c r="C299" s="11" t="s">
        <v>938</v>
      </c>
      <c r="D299" s="11" t="s">
        <v>456</v>
      </c>
      <c r="E299" s="11" t="s">
        <v>435</v>
      </c>
      <c r="F299" s="11"/>
      <c r="G299" s="11" t="s">
        <v>437</v>
      </c>
      <c r="H299" s="11" t="s">
        <v>438</v>
      </c>
      <c r="I299" s="11"/>
      <c r="J299" s="12" t="s">
        <v>439</v>
      </c>
      <c r="K299" s="12" t="s">
        <v>439</v>
      </c>
      <c r="L299" s="13"/>
      <c r="M299" s="13"/>
      <c r="N299" s="11" t="str">
        <f aca="false">IF(AND(L299&lt;&gt;"",M299&lt;&gt;""),"yes",IF(OR(L299&lt;&gt;"",M299&lt;&gt;""),"partial","no"))</f>
        <v>no</v>
      </c>
    </row>
    <row r="300" customFormat="false" ht="15" hidden="false" customHeight="true" outlineLevel="0" collapsed="false">
      <c r="A300" s="11" t="s">
        <v>10</v>
      </c>
      <c r="B300" s="11" t="s">
        <v>939</v>
      </c>
      <c r="C300" s="11" t="s">
        <v>940</v>
      </c>
      <c r="D300" s="11" t="s">
        <v>457</v>
      </c>
      <c r="E300" s="11" t="s">
        <v>435</v>
      </c>
      <c r="F300" s="11"/>
      <c r="G300" s="11" t="s">
        <v>437</v>
      </c>
      <c r="H300" s="11" t="s">
        <v>438</v>
      </c>
      <c r="I300" s="11"/>
      <c r="J300" s="12" t="s">
        <v>439</v>
      </c>
      <c r="K300" s="12" t="s">
        <v>439</v>
      </c>
      <c r="L300" s="13"/>
      <c r="M300" s="13"/>
      <c r="N300" s="11" t="str">
        <f aca="false">IF(AND(L300&lt;&gt;"",M300&lt;&gt;""),"yes",IF(OR(L300&lt;&gt;"",M300&lt;&gt;""),"partial","no"))</f>
        <v>no</v>
      </c>
    </row>
    <row r="301" customFormat="false" ht="15" hidden="false" customHeight="true" outlineLevel="0" collapsed="false">
      <c r="A301" s="11" t="s">
        <v>10</v>
      </c>
      <c r="B301" s="11" t="s">
        <v>941</v>
      </c>
      <c r="C301" s="11" t="s">
        <v>942</v>
      </c>
      <c r="D301" s="11" t="s">
        <v>457</v>
      </c>
      <c r="E301" s="11" t="s">
        <v>435</v>
      </c>
      <c r="F301" s="11"/>
      <c r="G301" s="11" t="s">
        <v>437</v>
      </c>
      <c r="H301" s="11" t="s">
        <v>438</v>
      </c>
      <c r="I301" s="11"/>
      <c r="J301" s="12" t="s">
        <v>439</v>
      </c>
      <c r="K301" s="12" t="s">
        <v>439</v>
      </c>
      <c r="L301" s="13"/>
      <c r="M301" s="13"/>
      <c r="N301" s="11" t="str">
        <f aca="false">IF(AND(L301&lt;&gt;"",M301&lt;&gt;""),"yes",IF(OR(L301&lt;&gt;"",M301&lt;&gt;""),"partial","no"))</f>
        <v>no</v>
      </c>
    </row>
    <row r="302" customFormat="false" ht="15" hidden="false" customHeight="true" outlineLevel="0" collapsed="false">
      <c r="A302" s="11" t="s">
        <v>10</v>
      </c>
      <c r="B302" s="11" t="s">
        <v>943</v>
      </c>
      <c r="C302" s="11" t="s">
        <v>944</v>
      </c>
      <c r="D302" s="11" t="s">
        <v>457</v>
      </c>
      <c r="E302" s="11" t="s">
        <v>435</v>
      </c>
      <c r="F302" s="11"/>
      <c r="G302" s="11" t="s">
        <v>437</v>
      </c>
      <c r="H302" s="11" t="s">
        <v>438</v>
      </c>
      <c r="I302" s="11"/>
      <c r="J302" s="12" t="s">
        <v>439</v>
      </c>
      <c r="K302" s="12" t="s">
        <v>439</v>
      </c>
      <c r="L302" s="13"/>
      <c r="M302" s="13"/>
      <c r="N302" s="11" t="str">
        <f aca="false">IF(AND(L302&lt;&gt;"",M302&lt;&gt;""),"yes",IF(OR(L302&lt;&gt;"",M302&lt;&gt;""),"partial","no"))</f>
        <v>no</v>
      </c>
    </row>
    <row r="303" customFormat="false" ht="15" hidden="false" customHeight="true" outlineLevel="0" collapsed="false">
      <c r="A303" s="11" t="s">
        <v>10</v>
      </c>
      <c r="B303" s="11" t="s">
        <v>945</v>
      </c>
      <c r="C303" s="11" t="s">
        <v>946</v>
      </c>
      <c r="D303" s="11" t="s">
        <v>457</v>
      </c>
      <c r="E303" s="11" t="s">
        <v>435</v>
      </c>
      <c r="F303" s="11"/>
      <c r="G303" s="11" t="s">
        <v>437</v>
      </c>
      <c r="H303" s="11" t="s">
        <v>438</v>
      </c>
      <c r="I303" s="11"/>
      <c r="J303" s="12" t="s">
        <v>439</v>
      </c>
      <c r="K303" s="12" t="s">
        <v>439</v>
      </c>
      <c r="L303" s="13"/>
      <c r="M303" s="13"/>
      <c r="N303" s="11" t="str">
        <f aca="false">IF(AND(L303&lt;&gt;"",M303&lt;&gt;""),"yes",IF(OR(L303&lt;&gt;"",M303&lt;&gt;""),"partial","no"))</f>
        <v>no</v>
      </c>
    </row>
    <row r="304" customFormat="false" ht="15" hidden="false" customHeight="true" outlineLevel="0" collapsed="false">
      <c r="A304" s="11" t="s">
        <v>10</v>
      </c>
      <c r="B304" s="11" t="s">
        <v>947</v>
      </c>
      <c r="C304" s="11" t="s">
        <v>948</v>
      </c>
      <c r="D304" s="11" t="s">
        <v>457</v>
      </c>
      <c r="E304" s="11" t="s">
        <v>435</v>
      </c>
      <c r="F304" s="11"/>
      <c r="G304" s="11" t="s">
        <v>437</v>
      </c>
      <c r="H304" s="11" t="s">
        <v>438</v>
      </c>
      <c r="I304" s="11"/>
      <c r="J304" s="12" t="s">
        <v>439</v>
      </c>
      <c r="K304" s="12" t="s">
        <v>439</v>
      </c>
      <c r="L304" s="13"/>
      <c r="M304" s="13"/>
      <c r="N304" s="11" t="str">
        <f aca="false">IF(AND(L304&lt;&gt;"",M304&lt;&gt;""),"yes",IF(OR(L304&lt;&gt;"",M304&lt;&gt;""),"partial","no"))</f>
        <v>no</v>
      </c>
    </row>
    <row r="305" customFormat="false" ht="15" hidden="false" customHeight="true" outlineLevel="0" collapsed="false">
      <c r="A305" s="11" t="s">
        <v>10</v>
      </c>
      <c r="B305" s="11" t="s">
        <v>949</v>
      </c>
      <c r="C305" s="11" t="s">
        <v>950</v>
      </c>
      <c r="D305" s="11" t="s">
        <v>457</v>
      </c>
      <c r="E305" s="11" t="s">
        <v>435</v>
      </c>
      <c r="F305" s="11"/>
      <c r="G305" s="11" t="s">
        <v>437</v>
      </c>
      <c r="H305" s="11" t="s">
        <v>438</v>
      </c>
      <c r="I305" s="11"/>
      <c r="J305" s="12" t="s">
        <v>439</v>
      </c>
      <c r="K305" s="12" t="s">
        <v>439</v>
      </c>
      <c r="L305" s="13"/>
      <c r="M305" s="13"/>
      <c r="N305" s="11" t="str">
        <f aca="false">IF(AND(L305&lt;&gt;"",M305&lt;&gt;""),"yes",IF(OR(L305&lt;&gt;"",M305&lt;&gt;""),"partial","no"))</f>
        <v>no</v>
      </c>
    </row>
    <row r="306" customFormat="false" ht="15" hidden="false" customHeight="true" outlineLevel="0" collapsed="false">
      <c r="A306" s="11" t="s">
        <v>10</v>
      </c>
      <c r="B306" s="11" t="s">
        <v>951</v>
      </c>
      <c r="C306" s="11" t="s">
        <v>952</v>
      </c>
      <c r="D306" s="11" t="s">
        <v>953</v>
      </c>
      <c r="E306" s="11" t="s">
        <v>435</v>
      </c>
      <c r="F306" s="11"/>
      <c r="G306" s="11" t="s">
        <v>437</v>
      </c>
      <c r="H306" s="11" t="s">
        <v>438</v>
      </c>
      <c r="I306" s="11"/>
      <c r="J306" s="12" t="s">
        <v>439</v>
      </c>
      <c r="K306" s="12" t="s">
        <v>439</v>
      </c>
      <c r="L306" s="13"/>
      <c r="M306" s="13"/>
      <c r="N306" s="11" t="str">
        <f aca="false">IF(AND(L306&lt;&gt;"",M306&lt;&gt;""),"yes",IF(OR(L306&lt;&gt;"",M306&lt;&gt;""),"partial","no"))</f>
        <v>no</v>
      </c>
    </row>
    <row r="307" customFormat="false" ht="15" hidden="false" customHeight="true" outlineLevel="0" collapsed="false">
      <c r="A307" s="11" t="s">
        <v>10</v>
      </c>
      <c r="B307" s="11" t="s">
        <v>954</v>
      </c>
      <c r="C307" s="11" t="s">
        <v>955</v>
      </c>
      <c r="D307" s="11" t="s">
        <v>956</v>
      </c>
      <c r="E307" s="11" t="s">
        <v>435</v>
      </c>
      <c r="F307" s="11"/>
      <c r="G307" s="11" t="s">
        <v>437</v>
      </c>
      <c r="H307" s="11" t="s">
        <v>438</v>
      </c>
      <c r="I307" s="11"/>
      <c r="J307" s="12" t="s">
        <v>439</v>
      </c>
      <c r="K307" s="12" t="s">
        <v>439</v>
      </c>
      <c r="L307" s="13"/>
      <c r="M307" s="13"/>
      <c r="N307" s="11" t="str">
        <f aca="false">IF(AND(L307&lt;&gt;"",M307&lt;&gt;""),"yes",IF(OR(L307&lt;&gt;"",M307&lt;&gt;""),"partial","no"))</f>
        <v>no</v>
      </c>
    </row>
    <row r="308" customFormat="false" ht="15" hidden="false" customHeight="true" outlineLevel="0" collapsed="false">
      <c r="A308" s="11" t="s">
        <v>10</v>
      </c>
      <c r="B308" s="11" t="s">
        <v>957</v>
      </c>
      <c r="C308" s="11" t="s">
        <v>958</v>
      </c>
      <c r="D308" s="11" t="s">
        <v>956</v>
      </c>
      <c r="E308" s="11" t="s">
        <v>435</v>
      </c>
      <c r="F308" s="11"/>
      <c r="G308" s="11" t="s">
        <v>437</v>
      </c>
      <c r="H308" s="11" t="s">
        <v>438</v>
      </c>
      <c r="I308" s="11"/>
      <c r="J308" s="12" t="s">
        <v>439</v>
      </c>
      <c r="K308" s="12" t="s">
        <v>439</v>
      </c>
      <c r="L308" s="13"/>
      <c r="M308" s="13"/>
      <c r="N308" s="11" t="str">
        <f aca="false">IF(AND(L308&lt;&gt;"",M308&lt;&gt;""),"yes",IF(OR(L308&lt;&gt;"",M308&lt;&gt;""),"partial","no"))</f>
        <v>no</v>
      </c>
    </row>
    <row r="309" customFormat="false" ht="15" hidden="false" customHeight="true" outlineLevel="0" collapsed="false">
      <c r="A309" s="11" t="s">
        <v>10</v>
      </c>
      <c r="B309" s="11" t="s">
        <v>959</v>
      </c>
      <c r="C309" s="11" t="s">
        <v>960</v>
      </c>
      <c r="D309" s="11" t="s">
        <v>463</v>
      </c>
      <c r="E309" s="11" t="s">
        <v>435</v>
      </c>
      <c r="F309" s="11"/>
      <c r="G309" s="11" t="s">
        <v>437</v>
      </c>
      <c r="H309" s="11" t="s">
        <v>438</v>
      </c>
      <c r="I309" s="11"/>
      <c r="J309" s="12" t="s">
        <v>439</v>
      </c>
      <c r="K309" s="12" t="s">
        <v>439</v>
      </c>
      <c r="L309" s="13"/>
      <c r="M309" s="13"/>
      <c r="N309" s="11" t="str">
        <f aca="false">IF(AND(L309&lt;&gt;"",M309&lt;&gt;""),"yes",IF(OR(L309&lt;&gt;"",M309&lt;&gt;""),"partial","no"))</f>
        <v>no</v>
      </c>
    </row>
    <row r="310" customFormat="false" ht="15" hidden="false" customHeight="true" outlineLevel="0" collapsed="false">
      <c r="A310" s="11" t="s">
        <v>10</v>
      </c>
      <c r="B310" s="11" t="s">
        <v>961</v>
      </c>
      <c r="C310" s="11" t="s">
        <v>962</v>
      </c>
      <c r="D310" s="11" t="s">
        <v>463</v>
      </c>
      <c r="E310" s="11" t="s">
        <v>435</v>
      </c>
      <c r="F310" s="11"/>
      <c r="G310" s="11" t="s">
        <v>437</v>
      </c>
      <c r="H310" s="11" t="s">
        <v>438</v>
      </c>
      <c r="I310" s="11"/>
      <c r="J310" s="12" t="s">
        <v>439</v>
      </c>
      <c r="K310" s="12" t="s">
        <v>439</v>
      </c>
      <c r="L310" s="13"/>
      <c r="M310" s="13"/>
      <c r="N310" s="11" t="str">
        <f aca="false">IF(AND(L310&lt;&gt;"",M310&lt;&gt;""),"yes",IF(OR(L310&lt;&gt;"",M310&lt;&gt;""),"partial","no"))</f>
        <v>no</v>
      </c>
    </row>
    <row r="311" customFormat="false" ht="15" hidden="false" customHeight="true" outlineLevel="0" collapsed="false">
      <c r="A311" s="11" t="s">
        <v>10</v>
      </c>
      <c r="B311" s="11" t="s">
        <v>963</v>
      </c>
      <c r="C311" s="11" t="s">
        <v>964</v>
      </c>
      <c r="D311" s="11" t="s">
        <v>463</v>
      </c>
      <c r="E311" s="11" t="s">
        <v>435</v>
      </c>
      <c r="F311" s="11"/>
      <c r="G311" s="11" t="s">
        <v>437</v>
      </c>
      <c r="H311" s="11" t="s">
        <v>438</v>
      </c>
      <c r="I311" s="11"/>
      <c r="J311" s="12" t="s">
        <v>439</v>
      </c>
      <c r="K311" s="12" t="s">
        <v>439</v>
      </c>
      <c r="L311" s="13"/>
      <c r="M311" s="13"/>
      <c r="N311" s="11" t="str">
        <f aca="false">IF(AND(L311&lt;&gt;"",M311&lt;&gt;""),"yes",IF(OR(L311&lt;&gt;"",M311&lt;&gt;""),"partial","no"))</f>
        <v>no</v>
      </c>
    </row>
    <row r="312" customFormat="false" ht="15" hidden="false" customHeight="true" outlineLevel="0" collapsed="false">
      <c r="A312" s="11" t="s">
        <v>10</v>
      </c>
      <c r="B312" s="11" t="s">
        <v>965</v>
      </c>
      <c r="C312" s="11" t="s">
        <v>966</v>
      </c>
      <c r="D312" s="11" t="s">
        <v>463</v>
      </c>
      <c r="E312" s="11" t="s">
        <v>435</v>
      </c>
      <c r="F312" s="11"/>
      <c r="G312" s="11" t="s">
        <v>437</v>
      </c>
      <c r="H312" s="11" t="s">
        <v>438</v>
      </c>
      <c r="I312" s="11"/>
      <c r="J312" s="12" t="s">
        <v>439</v>
      </c>
      <c r="K312" s="12" t="s">
        <v>439</v>
      </c>
      <c r="L312" s="13"/>
      <c r="M312" s="13"/>
      <c r="N312" s="11" t="str">
        <f aca="false">IF(AND(L312&lt;&gt;"",M312&lt;&gt;""),"yes",IF(OR(L312&lt;&gt;"",M312&lt;&gt;""),"partial","no"))</f>
        <v>no</v>
      </c>
    </row>
    <row r="313" customFormat="false" ht="15" hidden="false" customHeight="true" outlineLevel="0" collapsed="false">
      <c r="A313" s="11" t="s">
        <v>10</v>
      </c>
      <c r="B313" s="11" t="s">
        <v>967</v>
      </c>
      <c r="C313" s="11" t="s">
        <v>968</v>
      </c>
      <c r="D313" s="11" t="s">
        <v>463</v>
      </c>
      <c r="E313" s="11" t="s">
        <v>435</v>
      </c>
      <c r="F313" s="11"/>
      <c r="G313" s="11" t="s">
        <v>437</v>
      </c>
      <c r="H313" s="11" t="s">
        <v>438</v>
      </c>
      <c r="I313" s="11"/>
      <c r="J313" s="12" t="s">
        <v>439</v>
      </c>
      <c r="K313" s="12" t="s">
        <v>439</v>
      </c>
      <c r="L313" s="13"/>
      <c r="M313" s="13"/>
      <c r="N313" s="11" t="str">
        <f aca="false">IF(AND(L313&lt;&gt;"",M313&lt;&gt;""),"yes",IF(OR(L313&lt;&gt;"",M313&lt;&gt;""),"partial","no"))</f>
        <v>no</v>
      </c>
    </row>
    <row r="314" customFormat="false" ht="15" hidden="false" customHeight="true" outlineLevel="0" collapsed="false">
      <c r="A314" s="11" t="s">
        <v>10</v>
      </c>
      <c r="B314" s="11" t="s">
        <v>969</v>
      </c>
      <c r="C314" s="11" t="s">
        <v>970</v>
      </c>
      <c r="D314" s="11" t="s">
        <v>463</v>
      </c>
      <c r="E314" s="11" t="s">
        <v>435</v>
      </c>
      <c r="F314" s="11"/>
      <c r="G314" s="11" t="s">
        <v>437</v>
      </c>
      <c r="H314" s="11" t="s">
        <v>438</v>
      </c>
      <c r="I314" s="11"/>
      <c r="J314" s="12" t="s">
        <v>439</v>
      </c>
      <c r="K314" s="12" t="s">
        <v>439</v>
      </c>
      <c r="L314" s="13"/>
      <c r="M314" s="13"/>
      <c r="N314" s="11" t="str">
        <f aca="false">IF(AND(L314&lt;&gt;"",M314&lt;&gt;""),"yes",IF(OR(L314&lt;&gt;"",M314&lt;&gt;""),"partial","no"))</f>
        <v>no</v>
      </c>
    </row>
    <row r="315" customFormat="false" ht="15" hidden="false" customHeight="true" outlineLevel="0" collapsed="false">
      <c r="A315" s="11" t="s">
        <v>10</v>
      </c>
      <c r="B315" s="11" t="s">
        <v>971</v>
      </c>
      <c r="C315" s="11" t="s">
        <v>972</v>
      </c>
      <c r="D315" s="11" t="s">
        <v>463</v>
      </c>
      <c r="E315" s="11" t="s">
        <v>435</v>
      </c>
      <c r="F315" s="11"/>
      <c r="G315" s="11" t="s">
        <v>437</v>
      </c>
      <c r="H315" s="11" t="s">
        <v>438</v>
      </c>
      <c r="I315" s="11"/>
      <c r="J315" s="12" t="s">
        <v>439</v>
      </c>
      <c r="K315" s="12" t="s">
        <v>439</v>
      </c>
      <c r="L315" s="13"/>
      <c r="M315" s="13"/>
      <c r="N315" s="11" t="str">
        <f aca="false">IF(AND(L315&lt;&gt;"",M315&lt;&gt;""),"yes",IF(OR(L315&lt;&gt;"",M315&lt;&gt;""),"partial","no"))</f>
        <v>no</v>
      </c>
    </row>
    <row r="316" customFormat="false" ht="15" hidden="false" customHeight="true" outlineLevel="0" collapsed="false">
      <c r="A316" s="11" t="s">
        <v>10</v>
      </c>
      <c r="B316" s="11" t="s">
        <v>973</v>
      </c>
      <c r="C316" s="11" t="s">
        <v>974</v>
      </c>
      <c r="D316" s="11" t="s">
        <v>463</v>
      </c>
      <c r="E316" s="11" t="s">
        <v>435</v>
      </c>
      <c r="F316" s="11"/>
      <c r="G316" s="11" t="s">
        <v>437</v>
      </c>
      <c r="H316" s="11" t="s">
        <v>438</v>
      </c>
      <c r="I316" s="11"/>
      <c r="J316" s="12" t="s">
        <v>439</v>
      </c>
      <c r="K316" s="12" t="s">
        <v>439</v>
      </c>
      <c r="L316" s="13"/>
      <c r="M316" s="13"/>
      <c r="N316" s="11" t="str">
        <f aca="false">IF(AND(L316&lt;&gt;"",M316&lt;&gt;""),"yes",IF(OR(L316&lt;&gt;"",M316&lt;&gt;""),"partial","no"))</f>
        <v>no</v>
      </c>
    </row>
    <row r="317" customFormat="false" ht="15" hidden="false" customHeight="true" outlineLevel="0" collapsed="false">
      <c r="A317" s="11" t="s">
        <v>10</v>
      </c>
      <c r="B317" s="11" t="s">
        <v>975</v>
      </c>
      <c r="C317" s="11" t="s">
        <v>976</v>
      </c>
      <c r="D317" s="11" t="s">
        <v>464</v>
      </c>
      <c r="E317" s="11" t="s">
        <v>435</v>
      </c>
      <c r="F317" s="11"/>
      <c r="G317" s="11" t="s">
        <v>437</v>
      </c>
      <c r="H317" s="11" t="s">
        <v>438</v>
      </c>
      <c r="I317" s="11"/>
      <c r="J317" s="12" t="s">
        <v>439</v>
      </c>
      <c r="K317" s="12" t="s">
        <v>439</v>
      </c>
      <c r="L317" s="13"/>
      <c r="M317" s="13"/>
      <c r="N317" s="11" t="str">
        <f aca="false">IF(AND(L317&lt;&gt;"",M317&lt;&gt;""),"yes",IF(OR(L317&lt;&gt;"",M317&lt;&gt;""),"partial","no"))</f>
        <v>no</v>
      </c>
    </row>
    <row r="318" customFormat="false" ht="15" hidden="false" customHeight="true" outlineLevel="0" collapsed="false">
      <c r="A318" s="11" t="s">
        <v>10</v>
      </c>
      <c r="B318" s="11" t="s">
        <v>977</v>
      </c>
      <c r="C318" s="11" t="s">
        <v>978</v>
      </c>
      <c r="D318" s="11" t="s">
        <v>464</v>
      </c>
      <c r="E318" s="11" t="s">
        <v>435</v>
      </c>
      <c r="F318" s="11"/>
      <c r="G318" s="11" t="s">
        <v>437</v>
      </c>
      <c r="H318" s="11" t="s">
        <v>438</v>
      </c>
      <c r="I318" s="11"/>
      <c r="J318" s="12" t="s">
        <v>439</v>
      </c>
      <c r="K318" s="12" t="s">
        <v>439</v>
      </c>
      <c r="L318" s="13"/>
      <c r="M318" s="13"/>
      <c r="N318" s="11" t="str">
        <f aca="false">IF(AND(L318&lt;&gt;"",M318&lt;&gt;""),"yes",IF(OR(L318&lt;&gt;"",M318&lt;&gt;""),"partial","no"))</f>
        <v>no</v>
      </c>
    </row>
    <row r="319" customFormat="false" ht="15" hidden="false" customHeight="true" outlineLevel="0" collapsed="false">
      <c r="A319" s="11" t="s">
        <v>10</v>
      </c>
      <c r="B319" s="11" t="s">
        <v>979</v>
      </c>
      <c r="C319" s="11" t="s">
        <v>980</v>
      </c>
      <c r="D319" s="11" t="s">
        <v>464</v>
      </c>
      <c r="E319" s="11" t="s">
        <v>435</v>
      </c>
      <c r="F319" s="11"/>
      <c r="G319" s="11" t="s">
        <v>437</v>
      </c>
      <c r="H319" s="11" t="s">
        <v>438</v>
      </c>
      <c r="I319" s="11"/>
      <c r="J319" s="12" t="s">
        <v>439</v>
      </c>
      <c r="K319" s="12" t="s">
        <v>439</v>
      </c>
      <c r="L319" s="13"/>
      <c r="M319" s="13"/>
      <c r="N319" s="11" t="str">
        <f aca="false">IF(AND(L319&lt;&gt;"",M319&lt;&gt;""),"yes",IF(OR(L319&lt;&gt;"",M319&lt;&gt;""),"partial","no"))</f>
        <v>no</v>
      </c>
    </row>
    <row r="320" customFormat="false" ht="15" hidden="false" customHeight="true" outlineLevel="0" collapsed="false">
      <c r="A320" s="11" t="s">
        <v>10</v>
      </c>
      <c r="B320" s="11" t="s">
        <v>981</v>
      </c>
      <c r="C320" s="11" t="s">
        <v>982</v>
      </c>
      <c r="D320" s="11" t="s">
        <v>464</v>
      </c>
      <c r="E320" s="11" t="s">
        <v>435</v>
      </c>
      <c r="F320" s="11"/>
      <c r="G320" s="11" t="s">
        <v>437</v>
      </c>
      <c r="H320" s="11" t="s">
        <v>438</v>
      </c>
      <c r="I320" s="11"/>
      <c r="J320" s="12" t="s">
        <v>439</v>
      </c>
      <c r="K320" s="12" t="s">
        <v>439</v>
      </c>
      <c r="L320" s="13"/>
      <c r="M320" s="13"/>
      <c r="N320" s="11" t="str">
        <f aca="false">IF(AND(L320&lt;&gt;"",M320&lt;&gt;""),"yes",IF(OR(L320&lt;&gt;"",M320&lt;&gt;""),"partial","no"))</f>
        <v>no</v>
      </c>
    </row>
    <row r="321" customFormat="false" ht="15" hidden="false" customHeight="true" outlineLevel="0" collapsed="false">
      <c r="A321" s="11" t="s">
        <v>10</v>
      </c>
      <c r="B321" s="11" t="s">
        <v>983</v>
      </c>
      <c r="C321" s="11" t="s">
        <v>984</v>
      </c>
      <c r="D321" s="11" t="s">
        <v>661</v>
      </c>
      <c r="E321" s="11" t="s">
        <v>435</v>
      </c>
      <c r="F321" s="11"/>
      <c r="G321" s="11" t="s">
        <v>437</v>
      </c>
      <c r="H321" s="11" t="s">
        <v>438</v>
      </c>
      <c r="I321" s="11"/>
      <c r="J321" s="12" t="s">
        <v>439</v>
      </c>
      <c r="K321" s="12" t="s">
        <v>439</v>
      </c>
      <c r="L321" s="13"/>
      <c r="M321" s="13"/>
      <c r="N321" s="11" t="str">
        <f aca="false">IF(AND(L321&lt;&gt;"",M321&lt;&gt;""),"yes",IF(OR(L321&lt;&gt;"",M321&lt;&gt;""),"partial","no"))</f>
        <v>no</v>
      </c>
    </row>
    <row r="322" customFormat="false" ht="15" hidden="false" customHeight="true" outlineLevel="0" collapsed="false">
      <c r="A322" s="11" t="s">
        <v>10</v>
      </c>
      <c r="B322" s="11" t="s">
        <v>985</v>
      </c>
      <c r="C322" s="11" t="s">
        <v>986</v>
      </c>
      <c r="D322" s="11" t="s">
        <v>661</v>
      </c>
      <c r="E322" s="11" t="s">
        <v>435</v>
      </c>
      <c r="F322" s="11"/>
      <c r="G322" s="11" t="s">
        <v>437</v>
      </c>
      <c r="H322" s="11" t="s">
        <v>438</v>
      </c>
      <c r="I322" s="11"/>
      <c r="J322" s="12" t="s">
        <v>439</v>
      </c>
      <c r="K322" s="12" t="s">
        <v>439</v>
      </c>
      <c r="L322" s="13"/>
      <c r="M322" s="13"/>
      <c r="N322" s="11" t="str">
        <f aca="false">IF(AND(L322&lt;&gt;"",M322&lt;&gt;""),"yes",IF(OR(L322&lt;&gt;"",M322&lt;&gt;""),"partial","no"))</f>
        <v>no</v>
      </c>
    </row>
    <row r="323" customFormat="false" ht="15" hidden="false" customHeight="true" outlineLevel="0" collapsed="false">
      <c r="A323" s="11" t="s">
        <v>10</v>
      </c>
      <c r="B323" s="11" t="s">
        <v>987</v>
      </c>
      <c r="C323" s="11" t="s">
        <v>988</v>
      </c>
      <c r="D323" s="11" t="s">
        <v>661</v>
      </c>
      <c r="E323" s="11" t="s">
        <v>435</v>
      </c>
      <c r="F323" s="11"/>
      <c r="G323" s="11" t="s">
        <v>437</v>
      </c>
      <c r="H323" s="11" t="s">
        <v>438</v>
      </c>
      <c r="I323" s="11"/>
      <c r="J323" s="12" t="s">
        <v>439</v>
      </c>
      <c r="K323" s="12" t="s">
        <v>439</v>
      </c>
      <c r="L323" s="13"/>
      <c r="M323" s="13"/>
      <c r="N323" s="11" t="str">
        <f aca="false">IF(AND(L323&lt;&gt;"",M323&lt;&gt;""),"yes",IF(OR(L323&lt;&gt;"",M323&lt;&gt;""),"partial","no"))</f>
        <v>no</v>
      </c>
    </row>
    <row r="324" customFormat="false" ht="15" hidden="false" customHeight="true" outlineLevel="0" collapsed="false">
      <c r="A324" s="11" t="s">
        <v>10</v>
      </c>
      <c r="B324" s="11" t="s">
        <v>989</v>
      </c>
      <c r="C324" s="11" t="s">
        <v>990</v>
      </c>
      <c r="D324" s="11" t="s">
        <v>661</v>
      </c>
      <c r="E324" s="11" t="s">
        <v>435</v>
      </c>
      <c r="F324" s="11"/>
      <c r="G324" s="11" t="s">
        <v>437</v>
      </c>
      <c r="H324" s="11" t="s">
        <v>438</v>
      </c>
      <c r="I324" s="11"/>
      <c r="J324" s="12" t="s">
        <v>439</v>
      </c>
      <c r="K324" s="12" t="s">
        <v>439</v>
      </c>
      <c r="L324" s="13"/>
      <c r="M324" s="13"/>
      <c r="N324" s="11" t="str">
        <f aca="false">IF(AND(L324&lt;&gt;"",M324&lt;&gt;""),"yes",IF(OR(L324&lt;&gt;"",M324&lt;&gt;""),"partial","no"))</f>
        <v>no</v>
      </c>
    </row>
    <row r="325" customFormat="false" ht="15" hidden="false" customHeight="true" outlineLevel="0" collapsed="false">
      <c r="A325" s="11" t="s">
        <v>10</v>
      </c>
      <c r="B325" s="11" t="s">
        <v>991</v>
      </c>
      <c r="C325" s="11" t="s">
        <v>992</v>
      </c>
      <c r="D325" s="11" t="s">
        <v>661</v>
      </c>
      <c r="E325" s="11" t="s">
        <v>435</v>
      </c>
      <c r="F325" s="11"/>
      <c r="G325" s="11" t="s">
        <v>437</v>
      </c>
      <c r="H325" s="11" t="s">
        <v>438</v>
      </c>
      <c r="I325" s="11"/>
      <c r="J325" s="12" t="s">
        <v>439</v>
      </c>
      <c r="K325" s="12" t="s">
        <v>439</v>
      </c>
      <c r="L325" s="13"/>
      <c r="M325" s="13"/>
      <c r="N325" s="11" t="str">
        <f aca="false">IF(AND(L325&lt;&gt;"",M325&lt;&gt;""),"yes",IF(OR(L325&lt;&gt;"",M325&lt;&gt;""),"partial","no"))</f>
        <v>no</v>
      </c>
    </row>
    <row r="326" customFormat="false" ht="15" hidden="false" customHeight="true" outlineLevel="0" collapsed="false">
      <c r="A326" s="11" t="s">
        <v>10</v>
      </c>
      <c r="B326" s="11" t="s">
        <v>993</v>
      </c>
      <c r="C326" s="11" t="s">
        <v>994</v>
      </c>
      <c r="D326" s="11" t="s">
        <v>661</v>
      </c>
      <c r="E326" s="11" t="s">
        <v>435</v>
      </c>
      <c r="F326" s="11"/>
      <c r="G326" s="11" t="s">
        <v>437</v>
      </c>
      <c r="H326" s="11" t="s">
        <v>438</v>
      </c>
      <c r="I326" s="11"/>
      <c r="J326" s="12" t="s">
        <v>439</v>
      </c>
      <c r="K326" s="12" t="s">
        <v>439</v>
      </c>
      <c r="L326" s="13"/>
      <c r="M326" s="13"/>
      <c r="N326" s="11" t="str">
        <f aca="false">IF(AND(L326&lt;&gt;"",M326&lt;&gt;""),"yes",IF(OR(L326&lt;&gt;"",M326&lt;&gt;""),"partial","no"))</f>
        <v>no</v>
      </c>
    </row>
    <row r="327" customFormat="false" ht="15" hidden="false" customHeight="true" outlineLevel="0" collapsed="false">
      <c r="A327" s="11" t="s">
        <v>10</v>
      </c>
      <c r="B327" s="11" t="s">
        <v>995</v>
      </c>
      <c r="C327" s="11" t="s">
        <v>996</v>
      </c>
      <c r="D327" s="11" t="s">
        <v>661</v>
      </c>
      <c r="E327" s="11" t="s">
        <v>435</v>
      </c>
      <c r="F327" s="11"/>
      <c r="G327" s="11" t="s">
        <v>437</v>
      </c>
      <c r="H327" s="11" t="s">
        <v>438</v>
      </c>
      <c r="I327" s="11"/>
      <c r="J327" s="12" t="s">
        <v>439</v>
      </c>
      <c r="K327" s="12" t="s">
        <v>439</v>
      </c>
      <c r="L327" s="13"/>
      <c r="M327" s="13"/>
      <c r="N327" s="11" t="str">
        <f aca="false">IF(AND(L327&lt;&gt;"",M327&lt;&gt;""),"yes",IF(OR(L327&lt;&gt;"",M327&lt;&gt;""),"partial","no"))</f>
        <v>no</v>
      </c>
    </row>
    <row r="328" customFormat="false" ht="15" hidden="false" customHeight="true" outlineLevel="0" collapsed="false">
      <c r="A328" s="11" t="s">
        <v>10</v>
      </c>
      <c r="B328" s="11" t="s">
        <v>997</v>
      </c>
      <c r="C328" s="11" t="s">
        <v>998</v>
      </c>
      <c r="D328" s="11" t="s">
        <v>661</v>
      </c>
      <c r="E328" s="11" t="s">
        <v>435</v>
      </c>
      <c r="F328" s="11"/>
      <c r="G328" s="11" t="s">
        <v>437</v>
      </c>
      <c r="H328" s="11" t="s">
        <v>438</v>
      </c>
      <c r="I328" s="11"/>
      <c r="J328" s="12" t="s">
        <v>439</v>
      </c>
      <c r="K328" s="12" t="s">
        <v>439</v>
      </c>
      <c r="L328" s="13"/>
      <c r="M328" s="13"/>
      <c r="N328" s="11" t="str">
        <f aca="false">IF(AND(L328&lt;&gt;"",M328&lt;&gt;""),"yes",IF(OR(L328&lt;&gt;"",M328&lt;&gt;""),"partial","no"))</f>
        <v>no</v>
      </c>
    </row>
    <row r="329" customFormat="false" ht="15" hidden="false" customHeight="true" outlineLevel="0" collapsed="false">
      <c r="A329" s="11" t="s">
        <v>10</v>
      </c>
      <c r="B329" s="11" t="s">
        <v>999</v>
      </c>
      <c r="C329" s="11" t="s">
        <v>1000</v>
      </c>
      <c r="D329" s="11" t="s">
        <v>661</v>
      </c>
      <c r="E329" s="11" t="s">
        <v>435</v>
      </c>
      <c r="F329" s="11"/>
      <c r="G329" s="11" t="s">
        <v>437</v>
      </c>
      <c r="H329" s="11" t="s">
        <v>438</v>
      </c>
      <c r="I329" s="11"/>
      <c r="J329" s="12" t="s">
        <v>439</v>
      </c>
      <c r="K329" s="12" t="s">
        <v>439</v>
      </c>
      <c r="L329" s="13"/>
      <c r="M329" s="13"/>
      <c r="N329" s="11" t="str">
        <f aca="false">IF(AND(L329&lt;&gt;"",M329&lt;&gt;""),"yes",IF(OR(L329&lt;&gt;"",M329&lt;&gt;""),"partial","no"))</f>
        <v>no</v>
      </c>
    </row>
    <row r="330" customFormat="false" ht="15" hidden="false" customHeight="true" outlineLevel="0" collapsed="false">
      <c r="A330" s="11" t="s">
        <v>10</v>
      </c>
      <c r="B330" s="11" t="s">
        <v>1001</v>
      </c>
      <c r="C330" s="11" t="s">
        <v>1002</v>
      </c>
      <c r="D330" s="11" t="s">
        <v>465</v>
      </c>
      <c r="E330" s="11" t="s">
        <v>435</v>
      </c>
      <c r="F330" s="11"/>
      <c r="G330" s="11" t="s">
        <v>437</v>
      </c>
      <c r="H330" s="11" t="s">
        <v>438</v>
      </c>
      <c r="I330" s="11"/>
      <c r="J330" s="12" t="s">
        <v>439</v>
      </c>
      <c r="K330" s="12" t="s">
        <v>439</v>
      </c>
      <c r="L330" s="13"/>
      <c r="M330" s="13"/>
      <c r="N330" s="11" t="str">
        <f aca="false">IF(AND(L330&lt;&gt;"",M330&lt;&gt;""),"yes",IF(OR(L330&lt;&gt;"",M330&lt;&gt;""),"partial","no"))</f>
        <v>no</v>
      </c>
    </row>
    <row r="331" customFormat="false" ht="15" hidden="false" customHeight="true" outlineLevel="0" collapsed="false">
      <c r="A331" s="11" t="s">
        <v>10</v>
      </c>
      <c r="B331" s="11" t="s">
        <v>1003</v>
      </c>
      <c r="C331" s="11" t="s">
        <v>1004</v>
      </c>
      <c r="D331" s="11" t="s">
        <v>465</v>
      </c>
      <c r="E331" s="11" t="s">
        <v>435</v>
      </c>
      <c r="F331" s="11"/>
      <c r="G331" s="11" t="s">
        <v>437</v>
      </c>
      <c r="H331" s="11" t="s">
        <v>438</v>
      </c>
      <c r="I331" s="11"/>
      <c r="J331" s="12" t="s">
        <v>439</v>
      </c>
      <c r="K331" s="12" t="s">
        <v>439</v>
      </c>
      <c r="L331" s="13"/>
      <c r="M331" s="13"/>
      <c r="N331" s="11" t="str">
        <f aca="false">IF(AND(L331&lt;&gt;"",M331&lt;&gt;""),"yes",IF(OR(L331&lt;&gt;"",M331&lt;&gt;""),"partial","no"))</f>
        <v>no</v>
      </c>
    </row>
    <row r="332" customFormat="false" ht="15" hidden="false" customHeight="true" outlineLevel="0" collapsed="false">
      <c r="A332" s="11" t="s">
        <v>10</v>
      </c>
      <c r="B332" s="11" t="s">
        <v>1005</v>
      </c>
      <c r="C332" s="11" t="s">
        <v>1006</v>
      </c>
      <c r="D332" s="11" t="s">
        <v>465</v>
      </c>
      <c r="E332" s="11" t="s">
        <v>435</v>
      </c>
      <c r="F332" s="11"/>
      <c r="G332" s="11" t="s">
        <v>437</v>
      </c>
      <c r="H332" s="11" t="s">
        <v>438</v>
      </c>
      <c r="I332" s="11"/>
      <c r="J332" s="12" t="s">
        <v>439</v>
      </c>
      <c r="K332" s="12" t="s">
        <v>439</v>
      </c>
      <c r="L332" s="13"/>
      <c r="M332" s="13"/>
      <c r="N332" s="11" t="str">
        <f aca="false">IF(AND(L332&lt;&gt;"",M332&lt;&gt;""),"yes",IF(OR(L332&lt;&gt;"",M332&lt;&gt;""),"partial","no"))</f>
        <v>no</v>
      </c>
    </row>
    <row r="333" customFormat="false" ht="15" hidden="false" customHeight="true" outlineLevel="0" collapsed="false">
      <c r="A333" s="11" t="s">
        <v>10</v>
      </c>
      <c r="B333" s="11" t="s">
        <v>1007</v>
      </c>
      <c r="C333" s="11" t="s">
        <v>1008</v>
      </c>
      <c r="D333" s="11" t="s">
        <v>466</v>
      </c>
      <c r="E333" s="11" t="s">
        <v>435</v>
      </c>
      <c r="F333" s="11"/>
      <c r="G333" s="11" t="s">
        <v>437</v>
      </c>
      <c r="H333" s="11" t="s">
        <v>438</v>
      </c>
      <c r="I333" s="11"/>
      <c r="J333" s="12" t="s">
        <v>439</v>
      </c>
      <c r="K333" s="12" t="s">
        <v>439</v>
      </c>
      <c r="L333" s="13"/>
      <c r="M333" s="13"/>
      <c r="N333" s="11" t="str">
        <f aca="false">IF(AND(L333&lt;&gt;"",M333&lt;&gt;""),"yes",IF(OR(L333&lt;&gt;"",M333&lt;&gt;""),"partial","no"))</f>
        <v>no</v>
      </c>
    </row>
    <row r="334" customFormat="false" ht="15" hidden="false" customHeight="true" outlineLevel="0" collapsed="false">
      <c r="A334" s="11" t="s">
        <v>10</v>
      </c>
      <c r="B334" s="11" t="s">
        <v>1009</v>
      </c>
      <c r="C334" s="11" t="s">
        <v>1010</v>
      </c>
      <c r="D334" s="11" t="s">
        <v>466</v>
      </c>
      <c r="E334" s="11" t="s">
        <v>435</v>
      </c>
      <c r="F334" s="11"/>
      <c r="G334" s="11" t="s">
        <v>437</v>
      </c>
      <c r="H334" s="11" t="s">
        <v>438</v>
      </c>
      <c r="I334" s="11"/>
      <c r="J334" s="12" t="s">
        <v>439</v>
      </c>
      <c r="K334" s="12" t="s">
        <v>439</v>
      </c>
      <c r="L334" s="13"/>
      <c r="M334" s="13"/>
      <c r="N334" s="11" t="str">
        <f aca="false">IF(AND(L334&lt;&gt;"",M334&lt;&gt;""),"yes",IF(OR(L334&lt;&gt;"",M334&lt;&gt;""),"partial","no"))</f>
        <v>no</v>
      </c>
    </row>
    <row r="335" customFormat="false" ht="15" hidden="false" customHeight="true" outlineLevel="0" collapsed="false">
      <c r="A335" s="11" t="s">
        <v>10</v>
      </c>
      <c r="B335" s="11" t="s">
        <v>1011</v>
      </c>
      <c r="C335" s="11" t="s">
        <v>1012</v>
      </c>
      <c r="D335" s="11" t="s">
        <v>1013</v>
      </c>
      <c r="E335" s="11" t="s">
        <v>435</v>
      </c>
      <c r="F335" s="11"/>
      <c r="G335" s="11" t="s">
        <v>437</v>
      </c>
      <c r="H335" s="11" t="s">
        <v>438</v>
      </c>
      <c r="I335" s="11"/>
      <c r="J335" s="12" t="s">
        <v>439</v>
      </c>
      <c r="K335" s="12" t="s">
        <v>439</v>
      </c>
      <c r="L335" s="13"/>
      <c r="M335" s="13"/>
      <c r="N335" s="11" t="str">
        <f aca="false">IF(AND(L335&lt;&gt;"",M335&lt;&gt;""),"yes",IF(OR(L335&lt;&gt;"",M335&lt;&gt;""),"partial","no"))</f>
        <v>no</v>
      </c>
    </row>
    <row r="336" customFormat="false" ht="15" hidden="false" customHeight="true" outlineLevel="0" collapsed="false">
      <c r="A336" s="11" t="s">
        <v>10</v>
      </c>
      <c r="B336" s="11" t="s">
        <v>1014</v>
      </c>
      <c r="C336" s="11" t="s">
        <v>1015</v>
      </c>
      <c r="D336" s="11" t="s">
        <v>468</v>
      </c>
      <c r="E336" s="11" t="s">
        <v>435</v>
      </c>
      <c r="F336" s="11"/>
      <c r="G336" s="11" t="s">
        <v>437</v>
      </c>
      <c r="H336" s="11" t="s">
        <v>438</v>
      </c>
      <c r="I336" s="11"/>
      <c r="J336" s="12" t="s">
        <v>439</v>
      </c>
      <c r="K336" s="12" t="s">
        <v>439</v>
      </c>
      <c r="L336" s="13"/>
      <c r="M336" s="13"/>
      <c r="N336" s="11" t="str">
        <f aca="false">IF(AND(L336&lt;&gt;"",M336&lt;&gt;""),"yes",IF(OR(L336&lt;&gt;"",M336&lt;&gt;""),"partial","no"))</f>
        <v>no</v>
      </c>
    </row>
    <row r="337" customFormat="false" ht="15" hidden="false" customHeight="true" outlineLevel="0" collapsed="false">
      <c r="A337" s="11" t="s">
        <v>10</v>
      </c>
      <c r="B337" s="11" t="s">
        <v>1016</v>
      </c>
      <c r="C337" s="11" t="s">
        <v>1017</v>
      </c>
      <c r="D337" s="11" t="s">
        <v>1018</v>
      </c>
      <c r="E337" s="11" t="s">
        <v>435</v>
      </c>
      <c r="F337" s="11"/>
      <c r="G337" s="11" t="s">
        <v>437</v>
      </c>
      <c r="H337" s="11" t="s">
        <v>438</v>
      </c>
      <c r="I337" s="11"/>
      <c r="J337" s="12" t="s">
        <v>439</v>
      </c>
      <c r="K337" s="12" t="s">
        <v>439</v>
      </c>
      <c r="L337" s="13"/>
      <c r="M337" s="13"/>
      <c r="N337" s="11" t="str">
        <f aca="false">IF(AND(L337&lt;&gt;"",M337&lt;&gt;""),"yes",IF(OR(L337&lt;&gt;"",M337&lt;&gt;""),"partial","no"))</f>
        <v>no</v>
      </c>
    </row>
    <row r="338" customFormat="false" ht="15" hidden="false" customHeight="true" outlineLevel="0" collapsed="false">
      <c r="A338" s="11" t="s">
        <v>10</v>
      </c>
      <c r="B338" s="11" t="s">
        <v>1019</v>
      </c>
      <c r="C338" s="11" t="s">
        <v>1020</v>
      </c>
      <c r="D338" s="11" t="s">
        <v>689</v>
      </c>
      <c r="E338" s="11" t="s">
        <v>435</v>
      </c>
      <c r="F338" s="11"/>
      <c r="G338" s="11" t="s">
        <v>437</v>
      </c>
      <c r="H338" s="11" t="s">
        <v>438</v>
      </c>
      <c r="I338" s="11"/>
      <c r="J338" s="12" t="s">
        <v>439</v>
      </c>
      <c r="K338" s="12" t="s">
        <v>439</v>
      </c>
      <c r="L338" s="13"/>
      <c r="M338" s="13"/>
      <c r="N338" s="11" t="str">
        <f aca="false">IF(AND(L338&lt;&gt;"",M338&lt;&gt;""),"yes",IF(OR(L338&lt;&gt;"",M338&lt;&gt;""),"partial","no"))</f>
        <v>no</v>
      </c>
    </row>
    <row r="339" customFormat="false" ht="15" hidden="false" customHeight="true" outlineLevel="0" collapsed="false">
      <c r="A339" s="11" t="s">
        <v>10</v>
      </c>
      <c r="B339" s="11" t="s">
        <v>1021</v>
      </c>
      <c r="C339" s="11" t="s">
        <v>1022</v>
      </c>
      <c r="D339" s="11" t="s">
        <v>700</v>
      </c>
      <c r="E339" s="11" t="s">
        <v>435</v>
      </c>
      <c r="F339" s="11"/>
      <c r="G339" s="11" t="s">
        <v>437</v>
      </c>
      <c r="H339" s="11" t="s">
        <v>438</v>
      </c>
      <c r="I339" s="11"/>
      <c r="J339" s="12" t="s">
        <v>439</v>
      </c>
      <c r="K339" s="12" t="s">
        <v>439</v>
      </c>
      <c r="L339" s="13"/>
      <c r="M339" s="13"/>
      <c r="N339" s="11" t="str">
        <f aca="false">IF(AND(L339&lt;&gt;"",M339&lt;&gt;""),"yes",IF(OR(L339&lt;&gt;"",M339&lt;&gt;""),"partial","no"))</f>
        <v>no</v>
      </c>
    </row>
    <row r="340" customFormat="false" ht="15" hidden="false" customHeight="true" outlineLevel="0" collapsed="false">
      <c r="A340" s="11" t="s">
        <v>10</v>
      </c>
      <c r="B340" s="11" t="s">
        <v>698</v>
      </c>
      <c r="C340" s="11" t="s">
        <v>699</v>
      </c>
      <c r="D340" s="11" t="s">
        <v>700</v>
      </c>
      <c r="E340" s="11" t="s">
        <v>435</v>
      </c>
      <c r="F340" s="11"/>
      <c r="G340" s="11" t="s">
        <v>437</v>
      </c>
      <c r="H340" s="11" t="s">
        <v>438</v>
      </c>
      <c r="I340" s="11"/>
      <c r="J340" s="12" t="s">
        <v>439</v>
      </c>
      <c r="K340" s="12" t="s">
        <v>439</v>
      </c>
      <c r="L340" s="13"/>
      <c r="M340" s="13"/>
      <c r="N340" s="11" t="str">
        <f aca="false">IF(AND(L340&lt;&gt;"",M340&lt;&gt;""),"yes",IF(OR(L340&lt;&gt;"",M340&lt;&gt;""),"partial","no"))</f>
        <v>no</v>
      </c>
    </row>
    <row r="341" customFormat="false" ht="15" hidden="false" customHeight="true" outlineLevel="0" collapsed="false">
      <c r="A341" s="11" t="s">
        <v>10</v>
      </c>
      <c r="B341" s="11" t="s">
        <v>1023</v>
      </c>
      <c r="C341" s="11" t="s">
        <v>1024</v>
      </c>
      <c r="D341" s="11" t="s">
        <v>1025</v>
      </c>
      <c r="E341" s="11" t="s">
        <v>435</v>
      </c>
      <c r="F341" s="11"/>
      <c r="G341" s="11" t="s">
        <v>437</v>
      </c>
      <c r="H341" s="11" t="s">
        <v>438</v>
      </c>
      <c r="I341" s="11"/>
      <c r="J341" s="12" t="s">
        <v>439</v>
      </c>
      <c r="K341" s="12" t="s">
        <v>439</v>
      </c>
      <c r="L341" s="13"/>
      <c r="M341" s="13"/>
      <c r="N341" s="11" t="str">
        <f aca="false">IF(AND(L341&lt;&gt;"",M341&lt;&gt;""),"yes",IF(OR(L341&lt;&gt;"",M341&lt;&gt;""),"partial","no"))</f>
        <v>no</v>
      </c>
    </row>
    <row r="342" customFormat="false" ht="15" hidden="false" customHeight="true" outlineLevel="0" collapsed="false">
      <c r="A342" s="11" t="s">
        <v>10</v>
      </c>
      <c r="B342" s="11" t="s">
        <v>1026</v>
      </c>
      <c r="C342" s="11" t="s">
        <v>1027</v>
      </c>
      <c r="D342" s="11" t="s">
        <v>1025</v>
      </c>
      <c r="E342" s="11" t="s">
        <v>435</v>
      </c>
      <c r="F342" s="11"/>
      <c r="G342" s="11" t="s">
        <v>437</v>
      </c>
      <c r="H342" s="11" t="s">
        <v>438</v>
      </c>
      <c r="I342" s="11"/>
      <c r="J342" s="12" t="s">
        <v>439</v>
      </c>
      <c r="K342" s="12" t="s">
        <v>439</v>
      </c>
      <c r="L342" s="13"/>
      <c r="M342" s="13"/>
      <c r="N342" s="11" t="str">
        <f aca="false">IF(AND(L342&lt;&gt;"",M342&lt;&gt;""),"yes",IF(OR(L342&lt;&gt;"",M342&lt;&gt;""),"partial","no"))</f>
        <v>no</v>
      </c>
    </row>
    <row r="343" customFormat="false" ht="15" hidden="false" customHeight="true" outlineLevel="0" collapsed="false">
      <c r="A343" s="11" t="s">
        <v>10</v>
      </c>
      <c r="B343" s="11" t="s">
        <v>1028</v>
      </c>
      <c r="C343" s="11" t="s">
        <v>1029</v>
      </c>
      <c r="D343" s="11" t="s">
        <v>728</v>
      </c>
      <c r="E343" s="11" t="s">
        <v>435</v>
      </c>
      <c r="F343" s="11"/>
      <c r="G343" s="11" t="s">
        <v>437</v>
      </c>
      <c r="H343" s="11" t="s">
        <v>438</v>
      </c>
      <c r="I343" s="11"/>
      <c r="J343" s="12" t="s">
        <v>439</v>
      </c>
      <c r="K343" s="12" t="s">
        <v>439</v>
      </c>
      <c r="L343" s="13"/>
      <c r="M343" s="13"/>
      <c r="N343" s="11" t="str">
        <f aca="false">IF(AND(L343&lt;&gt;"",M343&lt;&gt;""),"yes",IF(OR(L343&lt;&gt;"",M343&lt;&gt;""),"partial","no"))</f>
        <v>no</v>
      </c>
    </row>
    <row r="344" customFormat="false" ht="15" hidden="false" customHeight="true" outlineLevel="0" collapsed="false">
      <c r="A344" s="11" t="s">
        <v>10</v>
      </c>
      <c r="B344" s="11" t="s">
        <v>1030</v>
      </c>
      <c r="C344" s="11" t="s">
        <v>1031</v>
      </c>
      <c r="D344" s="11" t="s">
        <v>728</v>
      </c>
      <c r="E344" s="11" t="s">
        <v>435</v>
      </c>
      <c r="F344" s="11"/>
      <c r="G344" s="11" t="s">
        <v>437</v>
      </c>
      <c r="H344" s="11" t="s">
        <v>438</v>
      </c>
      <c r="I344" s="11"/>
      <c r="J344" s="12" t="s">
        <v>439</v>
      </c>
      <c r="K344" s="12" t="s">
        <v>439</v>
      </c>
      <c r="L344" s="13"/>
      <c r="M344" s="13"/>
      <c r="N344" s="11" t="str">
        <f aca="false">IF(AND(L344&lt;&gt;"",M344&lt;&gt;""),"yes",IF(OR(L344&lt;&gt;"",M344&lt;&gt;""),"partial","no"))</f>
        <v>no</v>
      </c>
    </row>
    <row r="345" customFormat="false" ht="15" hidden="false" customHeight="true" outlineLevel="0" collapsed="false">
      <c r="A345" s="11" t="s">
        <v>10</v>
      </c>
      <c r="B345" s="11" t="s">
        <v>1032</v>
      </c>
      <c r="C345" s="11" t="s">
        <v>1033</v>
      </c>
      <c r="D345" s="11" t="s">
        <v>728</v>
      </c>
      <c r="E345" s="11" t="s">
        <v>435</v>
      </c>
      <c r="F345" s="11"/>
      <c r="G345" s="11" t="s">
        <v>437</v>
      </c>
      <c r="H345" s="11" t="s">
        <v>438</v>
      </c>
      <c r="I345" s="11"/>
      <c r="J345" s="12" t="s">
        <v>439</v>
      </c>
      <c r="K345" s="12" t="s">
        <v>439</v>
      </c>
      <c r="L345" s="13"/>
      <c r="M345" s="13"/>
      <c r="N345" s="11" t="str">
        <f aca="false">IF(AND(L345&lt;&gt;"",M345&lt;&gt;""),"yes",IF(OR(L345&lt;&gt;"",M345&lt;&gt;""),"partial","no"))</f>
        <v>no</v>
      </c>
    </row>
    <row r="346" customFormat="false" ht="15" hidden="false" customHeight="true" outlineLevel="0" collapsed="false">
      <c r="A346" s="11" t="s">
        <v>10</v>
      </c>
      <c r="B346" s="11" t="s">
        <v>1034</v>
      </c>
      <c r="C346" s="11" t="s">
        <v>1035</v>
      </c>
      <c r="D346" s="11" t="s">
        <v>728</v>
      </c>
      <c r="E346" s="11" t="s">
        <v>435</v>
      </c>
      <c r="F346" s="11"/>
      <c r="G346" s="11" t="s">
        <v>437</v>
      </c>
      <c r="H346" s="11" t="s">
        <v>438</v>
      </c>
      <c r="I346" s="11"/>
      <c r="J346" s="12" t="s">
        <v>439</v>
      </c>
      <c r="K346" s="12" t="s">
        <v>439</v>
      </c>
      <c r="L346" s="13"/>
      <c r="M346" s="13"/>
      <c r="N346" s="11" t="str">
        <f aca="false">IF(AND(L346&lt;&gt;"",M346&lt;&gt;""),"yes",IF(OR(L346&lt;&gt;"",M346&lt;&gt;""),"partial","no"))</f>
        <v>no</v>
      </c>
    </row>
    <row r="347" customFormat="false" ht="15" hidden="false" customHeight="true" outlineLevel="0" collapsed="false">
      <c r="A347" s="11" t="s">
        <v>10</v>
      </c>
      <c r="B347" s="11" t="s">
        <v>1036</v>
      </c>
      <c r="C347" s="11" t="s">
        <v>1037</v>
      </c>
      <c r="D347" s="11" t="s">
        <v>728</v>
      </c>
      <c r="E347" s="11" t="s">
        <v>435</v>
      </c>
      <c r="F347" s="11"/>
      <c r="G347" s="11" t="s">
        <v>437</v>
      </c>
      <c r="H347" s="11" t="s">
        <v>438</v>
      </c>
      <c r="I347" s="11"/>
      <c r="J347" s="12" t="s">
        <v>439</v>
      </c>
      <c r="K347" s="12" t="s">
        <v>439</v>
      </c>
      <c r="L347" s="13"/>
      <c r="M347" s="13"/>
      <c r="N347" s="11" t="str">
        <f aca="false">IF(AND(L347&lt;&gt;"",M347&lt;&gt;""),"yes",IF(OR(L347&lt;&gt;"",M347&lt;&gt;""),"partial","no"))</f>
        <v>no</v>
      </c>
    </row>
    <row r="348" customFormat="false" ht="15" hidden="false" customHeight="true" outlineLevel="0" collapsed="false">
      <c r="A348" s="11" t="s">
        <v>10</v>
      </c>
      <c r="B348" s="11" t="s">
        <v>1038</v>
      </c>
      <c r="C348" s="11" t="s">
        <v>1039</v>
      </c>
      <c r="D348" s="11" t="s">
        <v>728</v>
      </c>
      <c r="E348" s="11" t="s">
        <v>435</v>
      </c>
      <c r="F348" s="11"/>
      <c r="G348" s="11" t="s">
        <v>437</v>
      </c>
      <c r="H348" s="11" t="s">
        <v>438</v>
      </c>
      <c r="I348" s="11"/>
      <c r="J348" s="12" t="s">
        <v>439</v>
      </c>
      <c r="K348" s="12" t="s">
        <v>439</v>
      </c>
      <c r="L348" s="13"/>
      <c r="M348" s="13"/>
      <c r="N348" s="11" t="str">
        <f aca="false">IF(AND(L348&lt;&gt;"",M348&lt;&gt;""),"yes",IF(OR(L348&lt;&gt;"",M348&lt;&gt;""),"partial","no"))</f>
        <v>no</v>
      </c>
    </row>
    <row r="349" customFormat="false" ht="15" hidden="false" customHeight="true" outlineLevel="0" collapsed="false">
      <c r="A349" s="11" t="s">
        <v>10</v>
      </c>
      <c r="B349" s="11" t="s">
        <v>1040</v>
      </c>
      <c r="C349" s="11" t="s">
        <v>1041</v>
      </c>
      <c r="D349" s="11" t="s">
        <v>728</v>
      </c>
      <c r="E349" s="11" t="s">
        <v>435</v>
      </c>
      <c r="F349" s="11"/>
      <c r="G349" s="11" t="s">
        <v>437</v>
      </c>
      <c r="H349" s="11" t="s">
        <v>438</v>
      </c>
      <c r="I349" s="11"/>
      <c r="J349" s="12" t="s">
        <v>439</v>
      </c>
      <c r="K349" s="12" t="s">
        <v>439</v>
      </c>
      <c r="L349" s="13"/>
      <c r="M349" s="13"/>
      <c r="N349" s="11" t="str">
        <f aca="false">IF(AND(L349&lt;&gt;"",M349&lt;&gt;""),"yes",IF(OR(L349&lt;&gt;"",M349&lt;&gt;""),"partial","no"))</f>
        <v>no</v>
      </c>
    </row>
    <row r="350" customFormat="false" ht="15" hidden="false" customHeight="true" outlineLevel="0" collapsed="false">
      <c r="A350" s="11" t="s">
        <v>10</v>
      </c>
      <c r="B350" s="11" t="s">
        <v>1042</v>
      </c>
      <c r="C350" s="11" t="s">
        <v>1043</v>
      </c>
      <c r="D350" s="11" t="s">
        <v>728</v>
      </c>
      <c r="E350" s="11" t="s">
        <v>435</v>
      </c>
      <c r="F350" s="11"/>
      <c r="G350" s="11" t="s">
        <v>437</v>
      </c>
      <c r="H350" s="11" t="s">
        <v>438</v>
      </c>
      <c r="I350" s="11"/>
      <c r="J350" s="12" t="s">
        <v>439</v>
      </c>
      <c r="K350" s="12" t="s">
        <v>439</v>
      </c>
      <c r="L350" s="13"/>
      <c r="M350" s="13"/>
      <c r="N350" s="11" t="str">
        <f aca="false">IF(AND(L350&lt;&gt;"",M350&lt;&gt;""),"yes",IF(OR(L350&lt;&gt;"",M350&lt;&gt;""),"partial","no"))</f>
        <v>no</v>
      </c>
    </row>
    <row r="351" customFormat="false" ht="15" hidden="false" customHeight="true" outlineLevel="0" collapsed="false">
      <c r="A351" s="11" t="s">
        <v>10</v>
      </c>
      <c r="B351" s="11" t="s">
        <v>1044</v>
      </c>
      <c r="C351" s="11" t="s">
        <v>1045</v>
      </c>
      <c r="D351" s="11" t="s">
        <v>728</v>
      </c>
      <c r="E351" s="11" t="s">
        <v>435</v>
      </c>
      <c r="F351" s="11"/>
      <c r="G351" s="11" t="s">
        <v>437</v>
      </c>
      <c r="H351" s="11" t="s">
        <v>438</v>
      </c>
      <c r="I351" s="11"/>
      <c r="J351" s="12" t="s">
        <v>439</v>
      </c>
      <c r="K351" s="12" t="s">
        <v>439</v>
      </c>
      <c r="L351" s="13"/>
      <c r="M351" s="13"/>
      <c r="N351" s="11" t="str">
        <f aca="false">IF(AND(L351&lt;&gt;"",M351&lt;&gt;""),"yes",IF(OR(L351&lt;&gt;"",M351&lt;&gt;""),"partial","no"))</f>
        <v>no</v>
      </c>
    </row>
    <row r="352" customFormat="false" ht="15" hidden="false" customHeight="true" outlineLevel="0" collapsed="false">
      <c r="A352" s="11" t="s">
        <v>10</v>
      </c>
      <c r="B352" s="11" t="s">
        <v>1046</v>
      </c>
      <c r="C352" s="11" t="s">
        <v>1047</v>
      </c>
      <c r="D352" s="11" t="s">
        <v>1048</v>
      </c>
      <c r="E352" s="11" t="s">
        <v>435</v>
      </c>
      <c r="F352" s="11"/>
      <c r="G352" s="11" t="s">
        <v>437</v>
      </c>
      <c r="H352" s="11" t="s">
        <v>438</v>
      </c>
      <c r="I352" s="11"/>
      <c r="J352" s="12" t="s">
        <v>439</v>
      </c>
      <c r="K352" s="12" t="s">
        <v>439</v>
      </c>
      <c r="L352" s="13"/>
      <c r="M352" s="13"/>
      <c r="N352" s="11" t="str">
        <f aca="false">IF(AND(L352&lt;&gt;"",M352&lt;&gt;""),"yes",IF(OR(L352&lt;&gt;"",M352&lt;&gt;""),"partial","no"))</f>
        <v>no</v>
      </c>
    </row>
    <row r="353" customFormat="false" ht="15" hidden="false" customHeight="true" outlineLevel="0" collapsed="false">
      <c r="A353" s="11" t="s">
        <v>10</v>
      </c>
      <c r="B353" s="11" t="s">
        <v>1049</v>
      </c>
      <c r="C353" s="11" t="s">
        <v>1050</v>
      </c>
      <c r="D353" s="11" t="s">
        <v>1051</v>
      </c>
      <c r="E353" s="11" t="s">
        <v>435</v>
      </c>
      <c r="F353" s="11"/>
      <c r="G353" s="11" t="s">
        <v>474</v>
      </c>
      <c r="H353" s="11" t="s">
        <v>438</v>
      </c>
      <c r="I353" s="11"/>
      <c r="J353" s="12" t="s">
        <v>439</v>
      </c>
      <c r="K353" s="12" t="s">
        <v>439</v>
      </c>
      <c r="L353" s="13" t="s">
        <v>1052</v>
      </c>
      <c r="M353" s="13"/>
      <c r="N353" s="11" t="str">
        <f aca="false">IF(AND(L353&lt;&gt;"",M353&lt;&gt;""),"yes",IF(OR(L353&lt;&gt;"",M353&lt;&gt;""),"partial","no"))</f>
        <v>partial</v>
      </c>
    </row>
    <row r="354" customFormat="false" ht="15" hidden="false" customHeight="true" outlineLevel="0" collapsed="false">
      <c r="A354" s="11" t="s">
        <v>10</v>
      </c>
      <c r="B354" s="11" t="s">
        <v>1053</v>
      </c>
      <c r="C354" s="11" t="s">
        <v>1054</v>
      </c>
      <c r="D354" s="11" t="s">
        <v>1055</v>
      </c>
      <c r="E354" s="11" t="s">
        <v>435</v>
      </c>
      <c r="F354" s="11"/>
      <c r="G354" s="11" t="s">
        <v>474</v>
      </c>
      <c r="H354" s="11" t="s">
        <v>438</v>
      </c>
      <c r="I354" s="11"/>
      <c r="J354" s="12" t="s">
        <v>439</v>
      </c>
      <c r="K354" s="12" t="s">
        <v>439</v>
      </c>
      <c r="L354" s="13" t="s">
        <v>1056</v>
      </c>
      <c r="M354" s="13"/>
      <c r="N354" s="11" t="str">
        <f aca="false">IF(AND(L354&lt;&gt;"",M354&lt;&gt;""),"yes",IF(OR(L354&lt;&gt;"",M354&lt;&gt;""),"partial","no"))</f>
        <v>partial</v>
      </c>
    </row>
    <row r="355" customFormat="false" ht="15" hidden="false" customHeight="true" outlineLevel="0" collapsed="false">
      <c r="A355" s="11" t="s">
        <v>10</v>
      </c>
      <c r="B355" s="11" t="s">
        <v>1057</v>
      </c>
      <c r="C355" s="11" t="s">
        <v>1058</v>
      </c>
      <c r="D355" s="11" t="s">
        <v>1055</v>
      </c>
      <c r="E355" s="11" t="s">
        <v>435</v>
      </c>
      <c r="F355" s="11"/>
      <c r="G355" s="11" t="s">
        <v>474</v>
      </c>
      <c r="H355" s="11" t="s">
        <v>438</v>
      </c>
      <c r="I355" s="11"/>
      <c r="J355" s="12" t="s">
        <v>439</v>
      </c>
      <c r="K355" s="12" t="s">
        <v>439</v>
      </c>
      <c r="L355" s="13" t="s">
        <v>1059</v>
      </c>
      <c r="M355" s="13"/>
      <c r="N355" s="11" t="str">
        <f aca="false">IF(AND(L355&lt;&gt;"",M355&lt;&gt;""),"yes",IF(OR(L355&lt;&gt;"",M355&lt;&gt;""),"partial","no"))</f>
        <v>partial</v>
      </c>
    </row>
    <row r="356" customFormat="false" ht="15" hidden="false" customHeight="true" outlineLevel="0" collapsed="false">
      <c r="A356" s="11" t="s">
        <v>10</v>
      </c>
      <c r="B356" s="11" t="s">
        <v>1060</v>
      </c>
      <c r="C356" s="11" t="s">
        <v>1061</v>
      </c>
      <c r="D356" s="11" t="s">
        <v>1055</v>
      </c>
      <c r="E356" s="11" t="s">
        <v>435</v>
      </c>
      <c r="F356" s="11"/>
      <c r="G356" s="11" t="s">
        <v>474</v>
      </c>
      <c r="H356" s="11" t="s">
        <v>438</v>
      </c>
      <c r="I356" s="11"/>
      <c r="J356" s="12" t="s">
        <v>439</v>
      </c>
      <c r="K356" s="12" t="s">
        <v>439</v>
      </c>
      <c r="L356" s="13" t="s">
        <v>1062</v>
      </c>
      <c r="M356" s="13"/>
      <c r="N356" s="11" t="str">
        <f aca="false">IF(AND(L356&lt;&gt;"",M356&lt;&gt;""),"yes",IF(OR(L356&lt;&gt;"",M356&lt;&gt;""),"partial","no"))</f>
        <v>partial</v>
      </c>
    </row>
    <row r="357" customFormat="false" ht="15" hidden="false" customHeight="true" outlineLevel="0" collapsed="false">
      <c r="A357" s="11" t="s">
        <v>10</v>
      </c>
      <c r="B357" s="11" t="s">
        <v>1063</v>
      </c>
      <c r="C357" s="11" t="s">
        <v>1064</v>
      </c>
      <c r="D357" s="11" t="s">
        <v>1055</v>
      </c>
      <c r="E357" s="11" t="s">
        <v>435</v>
      </c>
      <c r="F357" s="11"/>
      <c r="G357" s="11" t="s">
        <v>474</v>
      </c>
      <c r="H357" s="11" t="s">
        <v>438</v>
      </c>
      <c r="I357" s="11"/>
      <c r="J357" s="12" t="s">
        <v>439</v>
      </c>
      <c r="K357" s="12" t="s">
        <v>439</v>
      </c>
      <c r="L357" s="13" t="s">
        <v>1065</v>
      </c>
      <c r="M357" s="13"/>
      <c r="N357" s="11" t="str">
        <f aca="false">IF(AND(L357&lt;&gt;"",M357&lt;&gt;""),"yes",IF(OR(L357&lt;&gt;"",M357&lt;&gt;""),"partial","no"))</f>
        <v>partial</v>
      </c>
    </row>
    <row r="358" customFormat="false" ht="15" hidden="false" customHeight="true" outlineLevel="0" collapsed="false">
      <c r="A358" s="11" t="s">
        <v>10</v>
      </c>
      <c r="B358" s="11" t="s">
        <v>1066</v>
      </c>
      <c r="C358" s="11" t="s">
        <v>1067</v>
      </c>
      <c r="D358" s="11" t="s">
        <v>1055</v>
      </c>
      <c r="E358" s="11" t="s">
        <v>435</v>
      </c>
      <c r="F358" s="11"/>
      <c r="G358" s="11" t="s">
        <v>474</v>
      </c>
      <c r="H358" s="11" t="s">
        <v>438</v>
      </c>
      <c r="I358" s="11"/>
      <c r="J358" s="12" t="s">
        <v>439</v>
      </c>
      <c r="K358" s="12" t="s">
        <v>439</v>
      </c>
      <c r="L358" s="13" t="s">
        <v>1068</v>
      </c>
      <c r="M358" s="13"/>
      <c r="N358" s="11" t="str">
        <f aca="false">IF(AND(L358&lt;&gt;"",M358&lt;&gt;""),"yes",IF(OR(L358&lt;&gt;"",M358&lt;&gt;""),"partial","no"))</f>
        <v>partial</v>
      </c>
    </row>
    <row r="359" customFormat="false" ht="15" hidden="false" customHeight="true" outlineLevel="0" collapsed="false">
      <c r="A359" s="11" t="s">
        <v>10</v>
      </c>
      <c r="B359" s="11" t="s">
        <v>1069</v>
      </c>
      <c r="C359" s="11" t="s">
        <v>1070</v>
      </c>
      <c r="D359" s="11" t="s">
        <v>1055</v>
      </c>
      <c r="E359" s="11" t="s">
        <v>435</v>
      </c>
      <c r="F359" s="11"/>
      <c r="G359" s="11" t="s">
        <v>474</v>
      </c>
      <c r="H359" s="11" t="s">
        <v>438</v>
      </c>
      <c r="I359" s="11"/>
      <c r="J359" s="12" t="s">
        <v>439</v>
      </c>
      <c r="K359" s="12" t="s">
        <v>439</v>
      </c>
      <c r="L359" s="13" t="s">
        <v>1071</v>
      </c>
      <c r="M359" s="13"/>
      <c r="N359" s="11" t="str">
        <f aca="false">IF(AND(L359&lt;&gt;"",M359&lt;&gt;""),"yes",IF(OR(L359&lt;&gt;"",M359&lt;&gt;""),"partial","no"))</f>
        <v>partial</v>
      </c>
    </row>
    <row r="360" customFormat="false" ht="15" hidden="false" customHeight="true" outlineLevel="0" collapsed="false">
      <c r="A360" s="11" t="s">
        <v>10</v>
      </c>
      <c r="B360" s="11" t="s">
        <v>1072</v>
      </c>
      <c r="C360" s="11" t="s">
        <v>1073</v>
      </c>
      <c r="D360" s="11" t="s">
        <v>1055</v>
      </c>
      <c r="E360" s="11" t="s">
        <v>435</v>
      </c>
      <c r="F360" s="11"/>
      <c r="G360" s="11" t="s">
        <v>474</v>
      </c>
      <c r="H360" s="11" t="s">
        <v>438</v>
      </c>
      <c r="I360" s="11"/>
      <c r="J360" s="12" t="s">
        <v>439</v>
      </c>
      <c r="K360" s="12" t="s">
        <v>439</v>
      </c>
      <c r="L360" s="13" t="s">
        <v>1074</v>
      </c>
      <c r="M360" s="13"/>
      <c r="N360" s="11" t="str">
        <f aca="false">IF(AND(L360&lt;&gt;"",M360&lt;&gt;""),"yes",IF(OR(L360&lt;&gt;"",M360&lt;&gt;""),"partial","no"))</f>
        <v>partial</v>
      </c>
    </row>
    <row r="361" customFormat="false" ht="15" hidden="false" customHeight="true" outlineLevel="0" collapsed="false">
      <c r="A361" s="11" t="s">
        <v>10</v>
      </c>
      <c r="B361" s="11" t="s">
        <v>1075</v>
      </c>
      <c r="C361" s="11" t="s">
        <v>1076</v>
      </c>
      <c r="D361" s="11" t="s">
        <v>1055</v>
      </c>
      <c r="E361" s="11" t="s">
        <v>435</v>
      </c>
      <c r="F361" s="11"/>
      <c r="G361" s="11" t="s">
        <v>474</v>
      </c>
      <c r="H361" s="11" t="s">
        <v>438</v>
      </c>
      <c r="I361" s="11"/>
      <c r="J361" s="12" t="s">
        <v>439</v>
      </c>
      <c r="K361" s="12" t="s">
        <v>439</v>
      </c>
      <c r="L361" s="13" t="s">
        <v>1077</v>
      </c>
      <c r="M361" s="13"/>
      <c r="N361" s="11" t="str">
        <f aca="false">IF(AND(L361&lt;&gt;"",M361&lt;&gt;""),"yes",IF(OR(L361&lt;&gt;"",M361&lt;&gt;""),"partial","no"))</f>
        <v>partial</v>
      </c>
    </row>
    <row r="362" customFormat="false" ht="15" hidden="false" customHeight="true" outlineLevel="0" collapsed="false">
      <c r="A362" s="11" t="s">
        <v>10</v>
      </c>
      <c r="B362" s="11" t="s">
        <v>1078</v>
      </c>
      <c r="C362" s="11" t="s">
        <v>1079</v>
      </c>
      <c r="D362" s="11" t="s">
        <v>530</v>
      </c>
      <c r="E362" s="11" t="s">
        <v>435</v>
      </c>
      <c r="F362" s="11"/>
      <c r="G362" s="11" t="s">
        <v>474</v>
      </c>
      <c r="H362" s="11" t="s">
        <v>438</v>
      </c>
      <c r="I362" s="11"/>
      <c r="J362" s="12" t="s">
        <v>439</v>
      </c>
      <c r="K362" s="12" t="s">
        <v>439</v>
      </c>
      <c r="L362" s="13" t="s">
        <v>1080</v>
      </c>
      <c r="M362" s="13"/>
      <c r="N362" s="11" t="str">
        <f aca="false">IF(AND(L362&lt;&gt;"",M362&lt;&gt;""),"yes",IF(OR(L362&lt;&gt;"",M362&lt;&gt;""),"partial","no"))</f>
        <v>partial</v>
      </c>
    </row>
    <row r="363" customFormat="false" ht="15" hidden="false" customHeight="true" outlineLevel="0" collapsed="false">
      <c r="A363" s="11" t="s">
        <v>10</v>
      </c>
      <c r="B363" s="11" t="s">
        <v>1081</v>
      </c>
      <c r="C363" s="11" t="s">
        <v>1082</v>
      </c>
      <c r="D363" s="11" t="s">
        <v>530</v>
      </c>
      <c r="E363" s="11" t="s">
        <v>435</v>
      </c>
      <c r="F363" s="11"/>
      <c r="G363" s="11" t="s">
        <v>474</v>
      </c>
      <c r="H363" s="11" t="s">
        <v>438</v>
      </c>
      <c r="I363" s="11"/>
      <c r="J363" s="12" t="s">
        <v>439</v>
      </c>
      <c r="K363" s="12" t="s">
        <v>439</v>
      </c>
      <c r="L363" s="13" t="s">
        <v>1083</v>
      </c>
      <c r="M363" s="13"/>
      <c r="N363" s="11" t="str">
        <f aca="false">IF(AND(L363&lt;&gt;"",M363&lt;&gt;""),"yes",IF(OR(L363&lt;&gt;"",M363&lt;&gt;""),"partial","no"))</f>
        <v>partial</v>
      </c>
    </row>
    <row r="364" customFormat="false" ht="15" hidden="false" customHeight="true" outlineLevel="0" collapsed="false">
      <c r="A364" s="11" t="s">
        <v>10</v>
      </c>
      <c r="B364" s="11" t="s">
        <v>1084</v>
      </c>
      <c r="C364" s="11" t="s">
        <v>1085</v>
      </c>
      <c r="D364" s="11" t="s">
        <v>441</v>
      </c>
      <c r="E364" s="11" t="s">
        <v>435</v>
      </c>
      <c r="F364" s="11"/>
      <c r="G364" s="11" t="s">
        <v>474</v>
      </c>
      <c r="H364" s="11" t="s">
        <v>438</v>
      </c>
      <c r="I364" s="11"/>
      <c r="J364" s="12" t="s">
        <v>439</v>
      </c>
      <c r="K364" s="12" t="s">
        <v>439</v>
      </c>
      <c r="L364" s="13" t="s">
        <v>1086</v>
      </c>
      <c r="M364" s="13"/>
      <c r="N364" s="11" t="str">
        <f aca="false">IF(AND(L364&lt;&gt;"",M364&lt;&gt;""),"yes",IF(OR(L364&lt;&gt;"",M364&lt;&gt;""),"partial","no"))</f>
        <v>partial</v>
      </c>
    </row>
    <row r="365" customFormat="false" ht="15" hidden="false" customHeight="true" outlineLevel="0" collapsed="false">
      <c r="A365" s="11" t="s">
        <v>10</v>
      </c>
      <c r="B365" s="11" t="s">
        <v>1087</v>
      </c>
      <c r="C365" s="11" t="s">
        <v>1088</v>
      </c>
      <c r="D365" s="11" t="s">
        <v>441</v>
      </c>
      <c r="E365" s="11" t="s">
        <v>435</v>
      </c>
      <c r="F365" s="11"/>
      <c r="G365" s="11" t="s">
        <v>474</v>
      </c>
      <c r="H365" s="11" t="s">
        <v>438</v>
      </c>
      <c r="I365" s="11"/>
      <c r="J365" s="12" t="s">
        <v>439</v>
      </c>
      <c r="K365" s="12" t="s">
        <v>439</v>
      </c>
      <c r="L365" s="13" t="s">
        <v>1089</v>
      </c>
      <c r="M365" s="13"/>
      <c r="N365" s="11" t="str">
        <f aca="false">IF(AND(L365&lt;&gt;"",M365&lt;&gt;""),"yes",IF(OR(L365&lt;&gt;"",M365&lt;&gt;""),"partial","no"))</f>
        <v>partial</v>
      </c>
    </row>
    <row r="366" customFormat="false" ht="15" hidden="false" customHeight="true" outlineLevel="0" collapsed="false">
      <c r="A366" s="11" t="s">
        <v>11</v>
      </c>
      <c r="B366" s="11" t="s">
        <v>1090</v>
      </c>
      <c r="C366" s="11" t="s">
        <v>1091</v>
      </c>
      <c r="D366" s="11" t="s">
        <v>434</v>
      </c>
      <c r="E366" s="11" t="s">
        <v>1092</v>
      </c>
      <c r="F366" s="11"/>
      <c r="G366" s="11" t="s">
        <v>437</v>
      </c>
      <c r="H366" s="11" t="s">
        <v>438</v>
      </c>
      <c r="I366" s="11"/>
      <c r="J366" s="12" t="s">
        <v>439</v>
      </c>
      <c r="K366" s="12" t="s">
        <v>439</v>
      </c>
      <c r="L366" s="13"/>
      <c r="M366" s="13"/>
      <c r="N366" s="11" t="str">
        <f aca="false">IF(AND(L366&lt;&gt;"",M366&lt;&gt;""),"yes",IF(OR(L366&lt;&gt;"",M366&lt;&gt;""),"partial","no"))</f>
        <v>no</v>
      </c>
    </row>
    <row r="367" customFormat="false" ht="15" hidden="false" customHeight="true" outlineLevel="0" collapsed="false">
      <c r="A367" s="11" t="s">
        <v>11</v>
      </c>
      <c r="B367" s="11" t="s">
        <v>1093</v>
      </c>
      <c r="C367" s="11" t="s">
        <v>1094</v>
      </c>
      <c r="D367" s="11" t="s">
        <v>434</v>
      </c>
      <c r="E367" s="11" t="s">
        <v>1092</v>
      </c>
      <c r="F367" s="11"/>
      <c r="G367" s="11" t="s">
        <v>437</v>
      </c>
      <c r="H367" s="11" t="s">
        <v>438</v>
      </c>
      <c r="I367" s="11"/>
      <c r="J367" s="12" t="s">
        <v>439</v>
      </c>
      <c r="K367" s="12" t="s">
        <v>439</v>
      </c>
      <c r="L367" s="13"/>
      <c r="M367" s="13"/>
      <c r="N367" s="11" t="str">
        <f aca="false">IF(AND(L367&lt;&gt;"",M367&lt;&gt;""),"yes",IF(OR(L367&lt;&gt;"",M367&lt;&gt;""),"partial","no"))</f>
        <v>no</v>
      </c>
    </row>
    <row r="368" customFormat="false" ht="15" hidden="false" customHeight="true" outlineLevel="0" collapsed="false">
      <c r="A368" s="11" t="s">
        <v>11</v>
      </c>
      <c r="B368" s="11" t="s">
        <v>1095</v>
      </c>
      <c r="C368" s="11" t="s">
        <v>1096</v>
      </c>
      <c r="D368" s="11" t="s">
        <v>434</v>
      </c>
      <c r="E368" s="11" t="s">
        <v>1092</v>
      </c>
      <c r="F368" s="11"/>
      <c r="G368" s="11" t="s">
        <v>437</v>
      </c>
      <c r="H368" s="11" t="s">
        <v>438</v>
      </c>
      <c r="I368" s="11"/>
      <c r="J368" s="12" t="s">
        <v>439</v>
      </c>
      <c r="K368" s="12" t="s">
        <v>439</v>
      </c>
      <c r="L368" s="13"/>
      <c r="M368" s="13"/>
      <c r="N368" s="11" t="str">
        <f aca="false">IF(AND(L368&lt;&gt;"",M368&lt;&gt;""),"yes",IF(OR(L368&lt;&gt;"",M368&lt;&gt;""),"partial","no"))</f>
        <v>no</v>
      </c>
    </row>
    <row r="369" customFormat="false" ht="15" hidden="false" customHeight="true" outlineLevel="0" collapsed="false">
      <c r="A369" s="11" t="s">
        <v>11</v>
      </c>
      <c r="B369" s="11" t="s">
        <v>1097</v>
      </c>
      <c r="C369" s="11" t="s">
        <v>1098</v>
      </c>
      <c r="D369" s="11" t="s">
        <v>530</v>
      </c>
      <c r="E369" s="11" t="s">
        <v>1092</v>
      </c>
      <c r="F369" s="11"/>
      <c r="G369" s="11" t="s">
        <v>437</v>
      </c>
      <c r="H369" s="11" t="s">
        <v>438</v>
      </c>
      <c r="I369" s="11"/>
      <c r="J369" s="12" t="s">
        <v>439</v>
      </c>
      <c r="K369" s="12" t="s">
        <v>439</v>
      </c>
      <c r="L369" s="13"/>
      <c r="M369" s="13"/>
      <c r="N369" s="11" t="str">
        <f aca="false">IF(AND(L369&lt;&gt;"",M369&lt;&gt;""),"yes",IF(OR(L369&lt;&gt;"",M369&lt;&gt;""),"partial","no"))</f>
        <v>no</v>
      </c>
    </row>
    <row r="370" customFormat="false" ht="15" hidden="false" customHeight="true" outlineLevel="0" collapsed="false">
      <c r="A370" s="11" t="s">
        <v>11</v>
      </c>
      <c r="B370" s="11" t="s">
        <v>1099</v>
      </c>
      <c r="C370" s="11" t="s">
        <v>1100</v>
      </c>
      <c r="D370" s="11" t="s">
        <v>530</v>
      </c>
      <c r="E370" s="11" t="s">
        <v>1092</v>
      </c>
      <c r="F370" s="11"/>
      <c r="G370" s="11" t="s">
        <v>437</v>
      </c>
      <c r="H370" s="11" t="s">
        <v>438</v>
      </c>
      <c r="I370" s="11"/>
      <c r="J370" s="12" t="s">
        <v>439</v>
      </c>
      <c r="K370" s="12" t="s">
        <v>439</v>
      </c>
      <c r="L370" s="13"/>
      <c r="M370" s="13"/>
      <c r="N370" s="11" t="str">
        <f aca="false">IF(AND(L370&lt;&gt;"",M370&lt;&gt;""),"yes",IF(OR(L370&lt;&gt;"",M370&lt;&gt;""),"partial","no"))</f>
        <v>no</v>
      </c>
    </row>
    <row r="371" customFormat="false" ht="15" hidden="false" customHeight="true" outlineLevel="0" collapsed="false">
      <c r="A371" s="11" t="s">
        <v>11</v>
      </c>
      <c r="B371" s="11" t="s">
        <v>1101</v>
      </c>
      <c r="C371" s="11" t="s">
        <v>1102</v>
      </c>
      <c r="D371" s="11" t="s">
        <v>530</v>
      </c>
      <c r="E371" s="11" t="s">
        <v>1092</v>
      </c>
      <c r="F371" s="11"/>
      <c r="G371" s="11" t="s">
        <v>437</v>
      </c>
      <c r="H371" s="11" t="s">
        <v>438</v>
      </c>
      <c r="I371" s="11"/>
      <c r="J371" s="12" t="s">
        <v>439</v>
      </c>
      <c r="K371" s="12" t="s">
        <v>439</v>
      </c>
      <c r="L371" s="13"/>
      <c r="M371" s="13"/>
      <c r="N371" s="11" t="str">
        <f aca="false">IF(AND(L371&lt;&gt;"",M371&lt;&gt;""),"yes",IF(OR(L371&lt;&gt;"",M371&lt;&gt;""),"partial","no"))</f>
        <v>no</v>
      </c>
    </row>
    <row r="372" customFormat="false" ht="15" hidden="false" customHeight="true" outlineLevel="0" collapsed="false">
      <c r="A372" s="11" t="s">
        <v>11</v>
      </c>
      <c r="B372" s="11" t="s">
        <v>1103</v>
      </c>
      <c r="C372" s="11" t="s">
        <v>1104</v>
      </c>
      <c r="D372" s="11" t="s">
        <v>441</v>
      </c>
      <c r="E372" s="11" t="s">
        <v>1092</v>
      </c>
      <c r="F372" s="11"/>
      <c r="G372" s="11" t="s">
        <v>437</v>
      </c>
      <c r="H372" s="11" t="s">
        <v>438</v>
      </c>
      <c r="I372" s="11"/>
      <c r="J372" s="12" t="s">
        <v>439</v>
      </c>
      <c r="K372" s="12" t="s">
        <v>439</v>
      </c>
      <c r="L372" s="13"/>
      <c r="M372" s="13"/>
      <c r="N372" s="11" t="str">
        <f aca="false">IF(AND(L372&lt;&gt;"",M372&lt;&gt;""),"yes",IF(OR(L372&lt;&gt;"",M372&lt;&gt;""),"partial","no"))</f>
        <v>no</v>
      </c>
    </row>
    <row r="373" customFormat="false" ht="15" hidden="false" customHeight="true" outlineLevel="0" collapsed="false">
      <c r="A373" s="11" t="s">
        <v>11</v>
      </c>
      <c r="B373" s="11" t="s">
        <v>1105</v>
      </c>
      <c r="C373" s="11" t="s">
        <v>1106</v>
      </c>
      <c r="D373" s="11" t="s">
        <v>847</v>
      </c>
      <c r="E373" s="11" t="s">
        <v>1092</v>
      </c>
      <c r="F373" s="11"/>
      <c r="G373" s="11" t="s">
        <v>437</v>
      </c>
      <c r="H373" s="11" t="s">
        <v>438</v>
      </c>
      <c r="I373" s="11"/>
      <c r="J373" s="12" t="s">
        <v>439</v>
      </c>
      <c r="K373" s="12" t="s">
        <v>439</v>
      </c>
      <c r="L373" s="13"/>
      <c r="M373" s="13"/>
      <c r="N373" s="11" t="str">
        <f aca="false">IF(AND(L373&lt;&gt;"",M373&lt;&gt;""),"yes",IF(OR(L373&lt;&gt;"",M373&lt;&gt;""),"partial","no"))</f>
        <v>no</v>
      </c>
    </row>
    <row r="374" customFormat="false" ht="15" hidden="false" customHeight="true" outlineLevel="0" collapsed="false">
      <c r="A374" s="11" t="s">
        <v>11</v>
      </c>
      <c r="B374" s="11" t="s">
        <v>1107</v>
      </c>
      <c r="C374" s="11" t="s">
        <v>1108</v>
      </c>
      <c r="D374" s="11" t="s">
        <v>1109</v>
      </c>
      <c r="E374" s="11" t="s">
        <v>1092</v>
      </c>
      <c r="F374" s="11"/>
      <c r="G374" s="11" t="s">
        <v>437</v>
      </c>
      <c r="H374" s="11" t="s">
        <v>438</v>
      </c>
      <c r="I374" s="11"/>
      <c r="J374" s="12" t="s">
        <v>439</v>
      </c>
      <c r="K374" s="12" t="s">
        <v>439</v>
      </c>
      <c r="L374" s="13"/>
      <c r="M374" s="13"/>
      <c r="N374" s="11" t="str">
        <f aca="false">IF(AND(L374&lt;&gt;"",M374&lt;&gt;""),"yes",IF(OR(L374&lt;&gt;"",M374&lt;&gt;""),"partial","no"))</f>
        <v>no</v>
      </c>
    </row>
    <row r="375" customFormat="false" ht="15" hidden="false" customHeight="true" outlineLevel="0" collapsed="false">
      <c r="A375" s="11" t="s">
        <v>11</v>
      </c>
      <c r="B375" s="11" t="s">
        <v>1110</v>
      </c>
      <c r="C375" s="11" t="s">
        <v>1111</v>
      </c>
      <c r="D375" s="11" t="s">
        <v>1109</v>
      </c>
      <c r="E375" s="11" t="s">
        <v>1092</v>
      </c>
      <c r="F375" s="11"/>
      <c r="G375" s="11" t="s">
        <v>437</v>
      </c>
      <c r="H375" s="11" t="s">
        <v>438</v>
      </c>
      <c r="I375" s="11"/>
      <c r="J375" s="12" t="s">
        <v>439</v>
      </c>
      <c r="K375" s="12" t="s">
        <v>439</v>
      </c>
      <c r="L375" s="13"/>
      <c r="M375" s="13"/>
      <c r="N375" s="11" t="str">
        <f aca="false">IF(AND(L375&lt;&gt;"",M375&lt;&gt;""),"yes",IF(OR(L375&lt;&gt;"",M375&lt;&gt;""),"partial","no"))</f>
        <v>no</v>
      </c>
    </row>
    <row r="376" customFormat="false" ht="15" hidden="false" customHeight="true" outlineLevel="0" collapsed="false">
      <c r="A376" s="11" t="s">
        <v>11</v>
      </c>
      <c r="B376" s="11" t="s">
        <v>1112</v>
      </c>
      <c r="C376" s="11" t="s">
        <v>1113</v>
      </c>
      <c r="D376" s="11" t="s">
        <v>689</v>
      </c>
      <c r="E376" s="11" t="s">
        <v>1092</v>
      </c>
      <c r="F376" s="11"/>
      <c r="G376" s="11" t="s">
        <v>437</v>
      </c>
      <c r="H376" s="11" t="s">
        <v>438</v>
      </c>
      <c r="I376" s="11"/>
      <c r="J376" s="12" t="s">
        <v>439</v>
      </c>
      <c r="K376" s="12" t="s">
        <v>439</v>
      </c>
      <c r="L376" s="13"/>
      <c r="M376" s="13"/>
      <c r="N376" s="11" t="str">
        <f aca="false">IF(AND(L376&lt;&gt;"",M376&lt;&gt;""),"yes",IF(OR(L376&lt;&gt;"",M376&lt;&gt;""),"partial","no"))</f>
        <v>no</v>
      </c>
    </row>
    <row r="377" customFormat="false" ht="15" hidden="false" customHeight="true" outlineLevel="0" collapsed="false">
      <c r="A377" s="11" t="s">
        <v>11</v>
      </c>
      <c r="B377" s="11" t="s">
        <v>1114</v>
      </c>
      <c r="C377" s="11" t="s">
        <v>1115</v>
      </c>
      <c r="D377" s="11" t="s">
        <v>689</v>
      </c>
      <c r="E377" s="11" t="s">
        <v>1092</v>
      </c>
      <c r="F377" s="11"/>
      <c r="G377" s="11" t="s">
        <v>437</v>
      </c>
      <c r="H377" s="11" t="s">
        <v>438</v>
      </c>
      <c r="I377" s="11"/>
      <c r="J377" s="12" t="s">
        <v>439</v>
      </c>
      <c r="K377" s="12" t="s">
        <v>439</v>
      </c>
      <c r="L377" s="13"/>
      <c r="M377" s="13"/>
      <c r="N377" s="11" t="str">
        <f aca="false">IF(AND(L377&lt;&gt;"",M377&lt;&gt;""),"yes",IF(OR(L377&lt;&gt;"",M377&lt;&gt;""),"partial","no"))</f>
        <v>no</v>
      </c>
    </row>
    <row r="378" customFormat="false" ht="15" hidden="false" customHeight="true" outlineLevel="0" collapsed="false">
      <c r="A378" s="11" t="s">
        <v>11</v>
      </c>
      <c r="B378" s="11" t="s">
        <v>1116</v>
      </c>
      <c r="C378" s="11" t="s">
        <v>1117</v>
      </c>
      <c r="D378" s="11" t="s">
        <v>700</v>
      </c>
      <c r="E378" s="11" t="s">
        <v>1092</v>
      </c>
      <c r="F378" s="11"/>
      <c r="G378" s="11" t="s">
        <v>437</v>
      </c>
      <c r="H378" s="11" t="s">
        <v>438</v>
      </c>
      <c r="I378" s="11"/>
      <c r="J378" s="12" t="s">
        <v>439</v>
      </c>
      <c r="K378" s="12" t="s">
        <v>439</v>
      </c>
      <c r="L378" s="13"/>
      <c r="M378" s="13"/>
      <c r="N378" s="11" t="str">
        <f aca="false">IF(AND(L378&lt;&gt;"",M378&lt;&gt;""),"yes",IF(OR(L378&lt;&gt;"",M378&lt;&gt;""),"partial","no"))</f>
        <v>no</v>
      </c>
    </row>
    <row r="379" customFormat="false" ht="15" hidden="false" customHeight="true" outlineLevel="0" collapsed="false">
      <c r="A379" s="11" t="s">
        <v>11</v>
      </c>
      <c r="B379" s="11" t="s">
        <v>1118</v>
      </c>
      <c r="C379" s="11" t="s">
        <v>1119</v>
      </c>
      <c r="D379" s="11" t="s">
        <v>700</v>
      </c>
      <c r="E379" s="11" t="s">
        <v>1092</v>
      </c>
      <c r="F379" s="11"/>
      <c r="G379" s="11" t="s">
        <v>437</v>
      </c>
      <c r="H379" s="11" t="s">
        <v>438</v>
      </c>
      <c r="I379" s="11"/>
      <c r="J379" s="12" t="s">
        <v>439</v>
      </c>
      <c r="K379" s="12" t="s">
        <v>439</v>
      </c>
      <c r="L379" s="13"/>
      <c r="M379" s="13"/>
      <c r="N379" s="11" t="str">
        <f aca="false">IF(AND(L379&lt;&gt;"",M379&lt;&gt;""),"yes",IF(OR(L379&lt;&gt;"",M379&lt;&gt;""),"partial","no"))</f>
        <v>no</v>
      </c>
    </row>
    <row r="380" customFormat="false" ht="15" hidden="false" customHeight="true" outlineLevel="0" collapsed="false">
      <c r="A380" s="11" t="s">
        <v>11</v>
      </c>
      <c r="B380" s="11" t="s">
        <v>1120</v>
      </c>
      <c r="C380" s="11" t="s">
        <v>1121</v>
      </c>
      <c r="D380" s="11" t="s">
        <v>1051</v>
      </c>
      <c r="E380" s="11" t="s">
        <v>1092</v>
      </c>
      <c r="F380" s="11"/>
      <c r="G380" s="11" t="s">
        <v>474</v>
      </c>
      <c r="H380" s="11" t="s">
        <v>438</v>
      </c>
      <c r="I380" s="11"/>
      <c r="J380" s="12" t="s">
        <v>439</v>
      </c>
      <c r="K380" s="12" t="s">
        <v>439</v>
      </c>
      <c r="L380" s="13" t="s">
        <v>1122</v>
      </c>
      <c r="M380" s="13"/>
      <c r="N380" s="11" t="str">
        <f aca="false">IF(AND(L380&lt;&gt;"",M380&lt;&gt;""),"yes",IF(OR(L380&lt;&gt;"",M380&lt;&gt;""),"partial","no"))</f>
        <v>partial</v>
      </c>
    </row>
    <row r="381" customFormat="false" ht="15" hidden="false" customHeight="true" outlineLevel="0" collapsed="false">
      <c r="A381" s="11" t="s">
        <v>11</v>
      </c>
      <c r="B381" s="11" t="s">
        <v>1123</v>
      </c>
      <c r="C381" s="11" t="s">
        <v>1124</v>
      </c>
      <c r="D381" s="11" t="s">
        <v>1051</v>
      </c>
      <c r="E381" s="11" t="s">
        <v>1092</v>
      </c>
      <c r="F381" s="11"/>
      <c r="G381" s="11" t="s">
        <v>474</v>
      </c>
      <c r="H381" s="11" t="s">
        <v>438</v>
      </c>
      <c r="I381" s="11"/>
      <c r="J381" s="12" t="s">
        <v>439</v>
      </c>
      <c r="K381" s="12" t="s">
        <v>439</v>
      </c>
      <c r="L381" s="13" t="s">
        <v>1125</v>
      </c>
      <c r="M381" s="13"/>
      <c r="N381" s="11" t="str">
        <f aca="false">IF(AND(L381&lt;&gt;"",M381&lt;&gt;""),"yes",IF(OR(L381&lt;&gt;"",M381&lt;&gt;""),"partial","no"))</f>
        <v>partial</v>
      </c>
    </row>
    <row r="382" customFormat="false" ht="15" hidden="false" customHeight="true" outlineLevel="0" collapsed="false">
      <c r="A382" s="11" t="s">
        <v>11</v>
      </c>
      <c r="B382" s="11" t="s">
        <v>1126</v>
      </c>
      <c r="C382" s="11" t="s">
        <v>1127</v>
      </c>
      <c r="D382" s="11" t="s">
        <v>1055</v>
      </c>
      <c r="E382" s="11" t="s">
        <v>1092</v>
      </c>
      <c r="F382" s="11"/>
      <c r="G382" s="11" t="s">
        <v>474</v>
      </c>
      <c r="H382" s="11" t="s">
        <v>438</v>
      </c>
      <c r="I382" s="11"/>
      <c r="J382" s="12" t="s">
        <v>439</v>
      </c>
      <c r="K382" s="12" t="s">
        <v>439</v>
      </c>
      <c r="L382" s="13" t="s">
        <v>1128</v>
      </c>
      <c r="M382" s="13"/>
      <c r="N382" s="11" t="str">
        <f aca="false">IF(AND(L382&lt;&gt;"",M382&lt;&gt;""),"yes",IF(OR(L382&lt;&gt;"",M382&lt;&gt;""),"partial","no"))</f>
        <v>partial</v>
      </c>
    </row>
    <row r="383" customFormat="false" ht="15" hidden="false" customHeight="true" outlineLevel="0" collapsed="false">
      <c r="A383" s="11" t="s">
        <v>11</v>
      </c>
      <c r="B383" s="11" t="s">
        <v>1129</v>
      </c>
      <c r="C383" s="11" t="s">
        <v>1130</v>
      </c>
      <c r="D383" s="11" t="s">
        <v>1055</v>
      </c>
      <c r="E383" s="11" t="s">
        <v>1092</v>
      </c>
      <c r="F383" s="11"/>
      <c r="G383" s="11" t="s">
        <v>474</v>
      </c>
      <c r="H383" s="11" t="s">
        <v>438</v>
      </c>
      <c r="I383" s="11"/>
      <c r="J383" s="12" t="s">
        <v>439</v>
      </c>
      <c r="K383" s="12" t="s">
        <v>439</v>
      </c>
      <c r="L383" s="13" t="s">
        <v>1131</v>
      </c>
      <c r="M383" s="13"/>
      <c r="N383" s="11" t="str">
        <f aca="false">IF(AND(L383&lt;&gt;"",M383&lt;&gt;""),"yes",IF(OR(L383&lt;&gt;"",M383&lt;&gt;""),"partial","no"))</f>
        <v>partial</v>
      </c>
    </row>
    <row r="384" customFormat="false" ht="15" hidden="false" customHeight="true" outlineLevel="0" collapsed="false">
      <c r="A384" s="11" t="s">
        <v>11</v>
      </c>
      <c r="B384" s="11" t="s">
        <v>1132</v>
      </c>
      <c r="C384" s="11" t="s">
        <v>1133</v>
      </c>
      <c r="D384" s="11" t="s">
        <v>1055</v>
      </c>
      <c r="E384" s="11" t="s">
        <v>1092</v>
      </c>
      <c r="F384" s="11"/>
      <c r="G384" s="11" t="s">
        <v>474</v>
      </c>
      <c r="H384" s="11" t="s">
        <v>438</v>
      </c>
      <c r="I384" s="11"/>
      <c r="J384" s="12" t="s">
        <v>439</v>
      </c>
      <c r="K384" s="12" t="s">
        <v>439</v>
      </c>
      <c r="L384" s="13" t="s">
        <v>1134</v>
      </c>
      <c r="M384" s="13"/>
      <c r="N384" s="11" t="str">
        <f aca="false">IF(AND(L384&lt;&gt;"",M384&lt;&gt;""),"yes",IF(OR(L384&lt;&gt;"",M384&lt;&gt;""),"partial","no"))</f>
        <v>partial</v>
      </c>
    </row>
    <row r="385" customFormat="false" ht="15" hidden="false" customHeight="true" outlineLevel="0" collapsed="false">
      <c r="A385" s="11" t="s">
        <v>11</v>
      </c>
      <c r="B385" s="11" t="s">
        <v>1135</v>
      </c>
      <c r="C385" s="11" t="s">
        <v>1136</v>
      </c>
      <c r="D385" s="11" t="s">
        <v>1055</v>
      </c>
      <c r="E385" s="11" t="s">
        <v>1092</v>
      </c>
      <c r="F385" s="11"/>
      <c r="G385" s="11" t="s">
        <v>474</v>
      </c>
      <c r="H385" s="11" t="s">
        <v>438</v>
      </c>
      <c r="I385" s="11"/>
      <c r="J385" s="12" t="s">
        <v>439</v>
      </c>
      <c r="K385" s="12" t="s">
        <v>439</v>
      </c>
      <c r="L385" s="13" t="s">
        <v>1137</v>
      </c>
      <c r="M385" s="13"/>
      <c r="N385" s="11" t="str">
        <f aca="false">IF(AND(L385&lt;&gt;"",M385&lt;&gt;""),"yes",IF(OR(L385&lt;&gt;"",M385&lt;&gt;""),"partial","no"))</f>
        <v>partial</v>
      </c>
    </row>
    <row r="386" customFormat="false" ht="15" hidden="false" customHeight="true" outlineLevel="0" collapsed="false">
      <c r="A386" s="11" t="s">
        <v>11</v>
      </c>
      <c r="B386" s="11" t="s">
        <v>1138</v>
      </c>
      <c r="C386" s="11" t="s">
        <v>1139</v>
      </c>
      <c r="D386" s="11" t="s">
        <v>1055</v>
      </c>
      <c r="E386" s="11" t="s">
        <v>1092</v>
      </c>
      <c r="F386" s="11"/>
      <c r="G386" s="11" t="s">
        <v>474</v>
      </c>
      <c r="H386" s="11" t="s">
        <v>438</v>
      </c>
      <c r="I386" s="11"/>
      <c r="J386" s="12" t="s">
        <v>439</v>
      </c>
      <c r="K386" s="12" t="s">
        <v>439</v>
      </c>
      <c r="L386" s="13" t="s">
        <v>1140</v>
      </c>
      <c r="M386" s="13"/>
      <c r="N386" s="11" t="str">
        <f aca="false">IF(AND(L386&lt;&gt;"",M386&lt;&gt;""),"yes",IF(OR(L386&lt;&gt;"",M386&lt;&gt;""),"partial","no"))</f>
        <v>partial</v>
      </c>
    </row>
    <row r="387" customFormat="false" ht="15" hidden="false" customHeight="true" outlineLevel="0" collapsed="false">
      <c r="A387" s="11" t="s">
        <v>11</v>
      </c>
      <c r="B387" s="11" t="s">
        <v>1141</v>
      </c>
      <c r="C387" s="11" t="s">
        <v>1142</v>
      </c>
      <c r="D387" s="11" t="s">
        <v>1055</v>
      </c>
      <c r="E387" s="11" t="s">
        <v>1092</v>
      </c>
      <c r="F387" s="11"/>
      <c r="G387" s="11" t="s">
        <v>474</v>
      </c>
      <c r="H387" s="11" t="s">
        <v>438</v>
      </c>
      <c r="I387" s="11"/>
      <c r="J387" s="12" t="s">
        <v>439</v>
      </c>
      <c r="K387" s="12" t="s">
        <v>439</v>
      </c>
      <c r="L387" s="13" t="s">
        <v>1143</v>
      </c>
      <c r="M387" s="13"/>
      <c r="N387" s="11" t="str">
        <f aca="false">IF(AND(L387&lt;&gt;"",M387&lt;&gt;""),"yes",IF(OR(L387&lt;&gt;"",M387&lt;&gt;""),"partial","no"))</f>
        <v>partial</v>
      </c>
    </row>
    <row r="388" customFormat="false" ht="15" hidden="false" customHeight="true" outlineLevel="0" collapsed="false">
      <c r="A388" s="11" t="s">
        <v>11</v>
      </c>
      <c r="B388" s="11" t="s">
        <v>1144</v>
      </c>
      <c r="C388" s="11" t="s">
        <v>1145</v>
      </c>
      <c r="D388" s="11" t="s">
        <v>434</v>
      </c>
      <c r="E388" s="11" t="s">
        <v>1092</v>
      </c>
      <c r="F388" s="11"/>
      <c r="G388" s="11" t="s">
        <v>474</v>
      </c>
      <c r="H388" s="11" t="s">
        <v>438</v>
      </c>
      <c r="I388" s="11"/>
      <c r="J388" s="12" t="s">
        <v>439</v>
      </c>
      <c r="K388" s="12" t="s">
        <v>439</v>
      </c>
      <c r="L388" s="13" t="s">
        <v>1146</v>
      </c>
      <c r="M388" s="13"/>
      <c r="N388" s="11" t="str">
        <f aca="false">IF(AND(L388&lt;&gt;"",M388&lt;&gt;""),"yes",IF(OR(L388&lt;&gt;"",M388&lt;&gt;""),"partial","no"))</f>
        <v>partial</v>
      </c>
    </row>
    <row r="389" customFormat="false" ht="15" hidden="false" customHeight="true" outlineLevel="0" collapsed="false">
      <c r="A389" s="11" t="s">
        <v>11</v>
      </c>
      <c r="B389" s="11" t="s">
        <v>1147</v>
      </c>
      <c r="C389" s="11" t="s">
        <v>1148</v>
      </c>
      <c r="D389" s="11" t="s">
        <v>530</v>
      </c>
      <c r="E389" s="11" t="s">
        <v>1092</v>
      </c>
      <c r="F389" s="11"/>
      <c r="G389" s="11" t="s">
        <v>474</v>
      </c>
      <c r="H389" s="11" t="s">
        <v>438</v>
      </c>
      <c r="I389" s="11"/>
      <c r="J389" s="12" t="s">
        <v>439</v>
      </c>
      <c r="K389" s="12" t="s">
        <v>439</v>
      </c>
      <c r="L389" s="13" t="s">
        <v>1149</v>
      </c>
      <c r="M389" s="13"/>
      <c r="N389" s="11" t="str">
        <f aca="false">IF(AND(L389&lt;&gt;"",M389&lt;&gt;""),"yes",IF(OR(L389&lt;&gt;"",M389&lt;&gt;""),"partial","no"))</f>
        <v>partial</v>
      </c>
    </row>
    <row r="390" customFormat="false" ht="15" hidden="false" customHeight="true" outlineLevel="0" collapsed="false">
      <c r="A390" s="11" t="s">
        <v>11</v>
      </c>
      <c r="B390" s="11" t="s">
        <v>1150</v>
      </c>
      <c r="C390" s="11" t="s">
        <v>1151</v>
      </c>
      <c r="D390" s="11" t="s">
        <v>441</v>
      </c>
      <c r="E390" s="11" t="s">
        <v>1092</v>
      </c>
      <c r="F390" s="11"/>
      <c r="G390" s="11" t="s">
        <v>474</v>
      </c>
      <c r="H390" s="11" t="s">
        <v>438</v>
      </c>
      <c r="I390" s="11"/>
      <c r="J390" s="12" t="s">
        <v>439</v>
      </c>
      <c r="K390" s="12" t="s">
        <v>439</v>
      </c>
      <c r="L390" s="13" t="s">
        <v>1152</v>
      </c>
      <c r="M390" s="13"/>
      <c r="N390" s="11" t="str">
        <f aca="false">IF(AND(L390&lt;&gt;"",M390&lt;&gt;""),"yes",IF(OR(L390&lt;&gt;"",M390&lt;&gt;""),"partial","no"))</f>
        <v>partial</v>
      </c>
    </row>
    <row r="391" customFormat="false" ht="15" hidden="false" customHeight="true" outlineLevel="0" collapsed="false">
      <c r="A391" s="11" t="s">
        <v>11</v>
      </c>
      <c r="B391" s="11" t="s">
        <v>1153</v>
      </c>
      <c r="C391" s="11" t="s">
        <v>1154</v>
      </c>
      <c r="D391" s="11" t="s">
        <v>623</v>
      </c>
      <c r="E391" s="11" t="s">
        <v>1092</v>
      </c>
      <c r="F391" s="11"/>
      <c r="G391" s="11" t="s">
        <v>474</v>
      </c>
      <c r="H391" s="11" t="s">
        <v>438</v>
      </c>
      <c r="I391" s="11"/>
      <c r="J391" s="12" t="s">
        <v>439</v>
      </c>
      <c r="K391" s="12" t="s">
        <v>439</v>
      </c>
      <c r="L391" s="13" t="s">
        <v>1155</v>
      </c>
      <c r="M391" s="13"/>
      <c r="N391" s="11" t="str">
        <f aca="false">IF(AND(L391&lt;&gt;"",M391&lt;&gt;""),"yes",IF(OR(L391&lt;&gt;"",M391&lt;&gt;""),"partial","no"))</f>
        <v>partial</v>
      </c>
    </row>
    <row r="392" customFormat="false" ht="15" hidden="false" customHeight="true" outlineLevel="0" collapsed="false">
      <c r="A392" s="11" t="s">
        <v>11</v>
      </c>
      <c r="B392" s="11" t="s">
        <v>1156</v>
      </c>
      <c r="C392" s="11" t="s">
        <v>1157</v>
      </c>
      <c r="D392" s="11" t="s">
        <v>623</v>
      </c>
      <c r="E392" s="11" t="s">
        <v>1092</v>
      </c>
      <c r="F392" s="11"/>
      <c r="G392" s="11" t="s">
        <v>474</v>
      </c>
      <c r="H392" s="11" t="s">
        <v>438</v>
      </c>
      <c r="I392" s="11"/>
      <c r="J392" s="12" t="s">
        <v>439</v>
      </c>
      <c r="K392" s="12" t="s">
        <v>439</v>
      </c>
      <c r="L392" s="13" t="s">
        <v>1158</v>
      </c>
      <c r="M392" s="13"/>
      <c r="N392" s="11" t="str">
        <f aca="false">IF(AND(L392&lt;&gt;"",M392&lt;&gt;""),"yes",IF(OR(L392&lt;&gt;"",M392&lt;&gt;""),"partial","no"))</f>
        <v>partial</v>
      </c>
    </row>
    <row r="393" customFormat="false" ht="15" hidden="false" customHeight="true" outlineLevel="0" collapsed="false">
      <c r="A393" s="11" t="s">
        <v>11</v>
      </c>
      <c r="B393" s="11" t="s">
        <v>1159</v>
      </c>
      <c r="C393" s="11" t="s">
        <v>1160</v>
      </c>
      <c r="D393" s="11" t="s">
        <v>623</v>
      </c>
      <c r="E393" s="11" t="s">
        <v>1092</v>
      </c>
      <c r="F393" s="11"/>
      <c r="G393" s="11" t="s">
        <v>474</v>
      </c>
      <c r="H393" s="11" t="s">
        <v>438</v>
      </c>
      <c r="I393" s="11"/>
      <c r="J393" s="12" t="s">
        <v>439</v>
      </c>
      <c r="K393" s="12" t="s">
        <v>439</v>
      </c>
      <c r="L393" s="13" t="s">
        <v>1161</v>
      </c>
      <c r="M393" s="13"/>
      <c r="N393" s="11" t="str">
        <f aca="false">IF(AND(L393&lt;&gt;"",M393&lt;&gt;""),"yes",IF(OR(L393&lt;&gt;"",M393&lt;&gt;""),"partial","no"))</f>
        <v>partial</v>
      </c>
    </row>
    <row r="394" customFormat="false" ht="15" hidden="false" customHeight="true" outlineLevel="0" collapsed="false">
      <c r="A394" s="11" t="s">
        <v>11</v>
      </c>
      <c r="B394" s="11" t="s">
        <v>1162</v>
      </c>
      <c r="C394" s="11" t="s">
        <v>1163</v>
      </c>
      <c r="D394" s="11" t="s">
        <v>700</v>
      </c>
      <c r="E394" s="11" t="s">
        <v>1092</v>
      </c>
      <c r="F394" s="11"/>
      <c r="G394" s="11" t="s">
        <v>474</v>
      </c>
      <c r="H394" s="11" t="s">
        <v>438</v>
      </c>
      <c r="I394" s="11"/>
      <c r="J394" s="12" t="s">
        <v>439</v>
      </c>
      <c r="K394" s="12" t="s">
        <v>439</v>
      </c>
      <c r="L394" s="13" t="s">
        <v>1164</v>
      </c>
      <c r="M394" s="13"/>
      <c r="N394" s="11" t="str">
        <f aca="false">IF(AND(L394&lt;&gt;"",M394&lt;&gt;""),"yes",IF(OR(L394&lt;&gt;"",M394&lt;&gt;""),"partial","no"))</f>
        <v>partial</v>
      </c>
    </row>
    <row r="395" customFormat="false" ht="15" hidden="false" customHeight="true" outlineLevel="0" collapsed="false">
      <c r="A395" s="11" t="s">
        <v>12</v>
      </c>
      <c r="B395" s="11" t="s">
        <v>1165</v>
      </c>
      <c r="C395" s="11" t="s">
        <v>1166</v>
      </c>
      <c r="D395" s="11" t="s">
        <v>1167</v>
      </c>
      <c r="E395" s="11" t="s">
        <v>435</v>
      </c>
      <c r="F395" s="11"/>
      <c r="G395" s="11" t="s">
        <v>437</v>
      </c>
      <c r="H395" s="11" t="s">
        <v>438</v>
      </c>
      <c r="I395" s="11"/>
      <c r="J395" s="12" t="s">
        <v>439</v>
      </c>
      <c r="K395" s="12" t="s">
        <v>439</v>
      </c>
      <c r="L395" s="13"/>
      <c r="M395" s="13"/>
      <c r="N395" s="11" t="str">
        <f aca="false">IF(AND(L395&lt;&gt;"",M395&lt;&gt;""),"yes",IF(OR(L395&lt;&gt;"",M395&lt;&gt;""),"partial","no"))</f>
        <v>no</v>
      </c>
    </row>
    <row r="396" customFormat="false" ht="15" hidden="false" customHeight="true" outlineLevel="0" collapsed="false">
      <c r="A396" s="11" t="s">
        <v>12</v>
      </c>
      <c r="B396" s="11" t="s">
        <v>1168</v>
      </c>
      <c r="C396" s="11" t="s">
        <v>1169</v>
      </c>
      <c r="D396" s="11" t="s">
        <v>1167</v>
      </c>
      <c r="E396" s="11" t="s">
        <v>435</v>
      </c>
      <c r="F396" s="11"/>
      <c r="G396" s="11" t="s">
        <v>437</v>
      </c>
      <c r="H396" s="11" t="s">
        <v>438</v>
      </c>
      <c r="I396" s="11"/>
      <c r="J396" s="12" t="s">
        <v>439</v>
      </c>
      <c r="K396" s="12" t="s">
        <v>439</v>
      </c>
      <c r="L396" s="13"/>
      <c r="M396" s="13"/>
      <c r="N396" s="11" t="str">
        <f aca="false">IF(AND(L396&lt;&gt;"",M396&lt;&gt;""),"yes",IF(OR(L396&lt;&gt;"",M396&lt;&gt;""),"partial","no"))</f>
        <v>no</v>
      </c>
    </row>
    <row r="397" customFormat="false" ht="15" hidden="false" customHeight="true" outlineLevel="0" collapsed="false">
      <c r="A397" s="11" t="s">
        <v>12</v>
      </c>
      <c r="B397" s="11" t="s">
        <v>1170</v>
      </c>
      <c r="C397" s="11" t="s">
        <v>1171</v>
      </c>
      <c r="D397" s="11" t="s">
        <v>1167</v>
      </c>
      <c r="E397" s="11" t="s">
        <v>435</v>
      </c>
      <c r="F397" s="11"/>
      <c r="G397" s="11" t="s">
        <v>437</v>
      </c>
      <c r="H397" s="11" t="s">
        <v>438</v>
      </c>
      <c r="I397" s="11"/>
      <c r="J397" s="12" t="s">
        <v>439</v>
      </c>
      <c r="K397" s="12" t="s">
        <v>439</v>
      </c>
      <c r="L397" s="13"/>
      <c r="M397" s="13"/>
      <c r="N397" s="11" t="str">
        <f aca="false">IF(AND(L397&lt;&gt;"",M397&lt;&gt;""),"yes",IF(OR(L397&lt;&gt;"",M397&lt;&gt;""),"partial","no"))</f>
        <v>no</v>
      </c>
    </row>
    <row r="398" customFormat="false" ht="15" hidden="false" customHeight="true" outlineLevel="0" collapsed="false">
      <c r="A398" s="11" t="s">
        <v>12</v>
      </c>
      <c r="B398" s="11" t="s">
        <v>1172</v>
      </c>
      <c r="C398" s="11" t="s">
        <v>691</v>
      </c>
      <c r="D398" s="11" t="s">
        <v>1167</v>
      </c>
      <c r="E398" s="11" t="s">
        <v>435</v>
      </c>
      <c r="F398" s="11"/>
      <c r="G398" s="11" t="s">
        <v>437</v>
      </c>
      <c r="H398" s="11" t="s">
        <v>438</v>
      </c>
      <c r="I398" s="11" t="s">
        <v>1173</v>
      </c>
      <c r="J398" s="12" t="s">
        <v>439</v>
      </c>
      <c r="K398" s="12" t="s">
        <v>439</v>
      </c>
      <c r="L398" s="13"/>
      <c r="M398" s="13"/>
      <c r="N398" s="11" t="str">
        <f aca="false">IF(AND(L398&lt;&gt;"",M398&lt;&gt;""),"yes",IF(OR(L398&lt;&gt;"",M398&lt;&gt;""),"partial","no"))</f>
        <v>no</v>
      </c>
    </row>
    <row r="399" customFormat="false" ht="15" hidden="false" customHeight="true" outlineLevel="0" collapsed="false">
      <c r="A399" s="11" t="s">
        <v>12</v>
      </c>
      <c r="B399" s="11" t="s">
        <v>1174</v>
      </c>
      <c r="C399" s="11" t="s">
        <v>1175</v>
      </c>
      <c r="D399" s="11" t="s">
        <v>1167</v>
      </c>
      <c r="E399" s="11" t="s">
        <v>435</v>
      </c>
      <c r="F399" s="11"/>
      <c r="G399" s="11" t="s">
        <v>437</v>
      </c>
      <c r="H399" s="11" t="s">
        <v>438</v>
      </c>
      <c r="I399" s="11"/>
      <c r="J399" s="12" t="s">
        <v>439</v>
      </c>
      <c r="K399" s="12" t="s">
        <v>439</v>
      </c>
      <c r="L399" s="13"/>
      <c r="M399" s="13"/>
      <c r="N399" s="11" t="str">
        <f aca="false">IF(AND(L399&lt;&gt;"",M399&lt;&gt;""),"yes",IF(OR(L399&lt;&gt;"",M399&lt;&gt;""),"partial","no"))</f>
        <v>no</v>
      </c>
    </row>
    <row r="400" customFormat="false" ht="15" hidden="false" customHeight="true" outlineLevel="0" collapsed="false">
      <c r="A400" s="11" t="s">
        <v>12</v>
      </c>
      <c r="B400" s="11" t="s">
        <v>1176</v>
      </c>
      <c r="C400" s="11" t="s">
        <v>1177</v>
      </c>
      <c r="D400" s="11" t="s">
        <v>1167</v>
      </c>
      <c r="E400" s="11" t="s">
        <v>435</v>
      </c>
      <c r="F400" s="11"/>
      <c r="G400" s="11" t="s">
        <v>437</v>
      </c>
      <c r="H400" s="11" t="s">
        <v>438</v>
      </c>
      <c r="I400" s="11"/>
      <c r="J400" s="12" t="s">
        <v>439</v>
      </c>
      <c r="K400" s="12" t="s">
        <v>439</v>
      </c>
      <c r="L400" s="13"/>
      <c r="M400" s="13"/>
      <c r="N400" s="11" t="str">
        <f aca="false">IF(AND(L400&lt;&gt;"",M400&lt;&gt;""),"yes",IF(OR(L400&lt;&gt;"",M400&lt;&gt;""),"partial","no"))</f>
        <v>no</v>
      </c>
    </row>
    <row r="401" customFormat="false" ht="15" hidden="false" customHeight="true" outlineLevel="0" collapsed="false">
      <c r="A401" s="11" t="s">
        <v>12</v>
      </c>
      <c r="B401" s="11" t="s">
        <v>1178</v>
      </c>
      <c r="C401" s="11" t="s">
        <v>1179</v>
      </c>
      <c r="D401" s="11" t="s">
        <v>1167</v>
      </c>
      <c r="E401" s="11" t="s">
        <v>435</v>
      </c>
      <c r="F401" s="11"/>
      <c r="G401" s="11" t="s">
        <v>437</v>
      </c>
      <c r="H401" s="11" t="s">
        <v>438</v>
      </c>
      <c r="I401" s="11"/>
      <c r="J401" s="12" t="s">
        <v>439</v>
      </c>
      <c r="K401" s="12" t="s">
        <v>439</v>
      </c>
      <c r="L401" s="13"/>
      <c r="M401" s="13"/>
      <c r="N401" s="11" t="str">
        <f aca="false">IF(AND(L401&lt;&gt;"",M401&lt;&gt;""),"yes",IF(OR(L401&lt;&gt;"",M401&lt;&gt;""),"partial","no"))</f>
        <v>no</v>
      </c>
    </row>
    <row r="402" customFormat="false" ht="15" hidden="false" customHeight="true" outlineLevel="0" collapsed="false">
      <c r="A402" s="11" t="s">
        <v>12</v>
      </c>
      <c r="B402" s="11" t="s">
        <v>1180</v>
      </c>
      <c r="C402" s="11" t="s">
        <v>1181</v>
      </c>
      <c r="D402" s="11" t="s">
        <v>1167</v>
      </c>
      <c r="E402" s="11" t="s">
        <v>435</v>
      </c>
      <c r="F402" s="11"/>
      <c r="G402" s="11" t="s">
        <v>437</v>
      </c>
      <c r="H402" s="11" t="s">
        <v>438</v>
      </c>
      <c r="I402" s="11"/>
      <c r="J402" s="12" t="s">
        <v>439</v>
      </c>
      <c r="K402" s="12" t="s">
        <v>439</v>
      </c>
      <c r="L402" s="13"/>
      <c r="M402" s="13"/>
      <c r="N402" s="11" t="str">
        <f aca="false">IF(AND(L402&lt;&gt;"",M402&lt;&gt;""),"yes",IF(OR(L402&lt;&gt;"",M402&lt;&gt;""),"partial","no"))</f>
        <v>no</v>
      </c>
    </row>
    <row r="403" customFormat="false" ht="15" hidden="false" customHeight="true" outlineLevel="0" collapsed="false">
      <c r="A403" s="11" t="s">
        <v>12</v>
      </c>
      <c r="B403" s="11" t="s">
        <v>1182</v>
      </c>
      <c r="C403" s="11" t="s">
        <v>1183</v>
      </c>
      <c r="D403" s="11" t="s">
        <v>1167</v>
      </c>
      <c r="E403" s="11" t="s">
        <v>435</v>
      </c>
      <c r="F403" s="11"/>
      <c r="G403" s="11" t="s">
        <v>437</v>
      </c>
      <c r="H403" s="11" t="s">
        <v>438</v>
      </c>
      <c r="I403" s="11"/>
      <c r="J403" s="12" t="s">
        <v>439</v>
      </c>
      <c r="K403" s="12" t="s">
        <v>439</v>
      </c>
      <c r="L403" s="13"/>
      <c r="M403" s="13"/>
      <c r="N403" s="11" t="str">
        <f aca="false">IF(AND(L403&lt;&gt;"",M403&lt;&gt;""),"yes",IF(OR(L403&lt;&gt;"",M403&lt;&gt;""),"partial","no"))</f>
        <v>no</v>
      </c>
    </row>
    <row r="404" customFormat="false" ht="15" hidden="false" customHeight="true" outlineLevel="0" collapsed="false">
      <c r="A404" s="11" t="s">
        <v>12</v>
      </c>
      <c r="B404" s="11" t="s">
        <v>1184</v>
      </c>
      <c r="C404" s="11" t="s">
        <v>492</v>
      </c>
      <c r="D404" s="11" t="s">
        <v>1167</v>
      </c>
      <c r="E404" s="11" t="s">
        <v>435</v>
      </c>
      <c r="F404" s="11"/>
      <c r="G404" s="11" t="s">
        <v>437</v>
      </c>
      <c r="H404" s="11" t="s">
        <v>438</v>
      </c>
      <c r="I404" s="11" t="s">
        <v>1185</v>
      </c>
      <c r="J404" s="12" t="s">
        <v>439</v>
      </c>
      <c r="K404" s="12" t="s">
        <v>439</v>
      </c>
      <c r="L404" s="13"/>
      <c r="M404" s="13"/>
      <c r="N404" s="11" t="str">
        <f aca="false">IF(AND(L404&lt;&gt;"",M404&lt;&gt;""),"yes",IF(OR(L404&lt;&gt;"",M404&lt;&gt;""),"partial","no"))</f>
        <v>no</v>
      </c>
    </row>
    <row r="405" customFormat="false" ht="15" hidden="false" customHeight="true" outlineLevel="0" collapsed="false">
      <c r="A405" s="11" t="s">
        <v>12</v>
      </c>
      <c r="B405" s="11" t="s">
        <v>1186</v>
      </c>
      <c r="C405" s="11" t="s">
        <v>1187</v>
      </c>
      <c r="D405" s="11" t="s">
        <v>1167</v>
      </c>
      <c r="E405" s="11" t="s">
        <v>435</v>
      </c>
      <c r="F405" s="11"/>
      <c r="G405" s="11" t="s">
        <v>437</v>
      </c>
      <c r="H405" s="11" t="s">
        <v>438</v>
      </c>
      <c r="I405" s="11"/>
      <c r="J405" s="12" t="s">
        <v>439</v>
      </c>
      <c r="K405" s="12" t="s">
        <v>439</v>
      </c>
      <c r="L405" s="13"/>
      <c r="M405" s="13"/>
      <c r="N405" s="11" t="str">
        <f aca="false">IF(AND(L405&lt;&gt;"",M405&lt;&gt;""),"yes",IF(OR(L405&lt;&gt;"",M405&lt;&gt;""),"partial","no"))</f>
        <v>no</v>
      </c>
    </row>
    <row r="406" customFormat="false" ht="15" hidden="false" customHeight="true" outlineLevel="0" collapsed="false">
      <c r="A406" s="11" t="s">
        <v>12</v>
      </c>
      <c r="B406" s="11" t="s">
        <v>1188</v>
      </c>
      <c r="C406" s="11" t="s">
        <v>1189</v>
      </c>
      <c r="D406" s="11" t="s">
        <v>1167</v>
      </c>
      <c r="E406" s="11" t="s">
        <v>435</v>
      </c>
      <c r="F406" s="11"/>
      <c r="G406" s="11" t="s">
        <v>437</v>
      </c>
      <c r="H406" s="11" t="s">
        <v>438</v>
      </c>
      <c r="I406" s="11"/>
      <c r="J406" s="12" t="s">
        <v>439</v>
      </c>
      <c r="K406" s="12" t="s">
        <v>439</v>
      </c>
      <c r="L406" s="13"/>
      <c r="M406" s="13"/>
      <c r="N406" s="11" t="str">
        <f aca="false">IF(AND(L406&lt;&gt;"",M406&lt;&gt;""),"yes",IF(OR(L406&lt;&gt;"",M406&lt;&gt;""),"partial","no"))</f>
        <v>no</v>
      </c>
    </row>
    <row r="407" customFormat="false" ht="15" hidden="false" customHeight="true" outlineLevel="0" collapsed="false">
      <c r="A407" s="11" t="s">
        <v>12</v>
      </c>
      <c r="B407" s="11" t="s">
        <v>1190</v>
      </c>
      <c r="C407" s="11" t="s">
        <v>1191</v>
      </c>
      <c r="D407" s="11" t="s">
        <v>1167</v>
      </c>
      <c r="E407" s="11" t="s">
        <v>435</v>
      </c>
      <c r="F407" s="11"/>
      <c r="G407" s="11" t="s">
        <v>437</v>
      </c>
      <c r="H407" s="11" t="s">
        <v>438</v>
      </c>
      <c r="I407" s="11"/>
      <c r="J407" s="12" t="s">
        <v>439</v>
      </c>
      <c r="K407" s="12" t="s">
        <v>439</v>
      </c>
      <c r="L407" s="13"/>
      <c r="M407" s="13"/>
      <c r="N407" s="11" t="str">
        <f aca="false">IF(AND(L407&lt;&gt;"",M407&lt;&gt;""),"yes",IF(OR(L407&lt;&gt;"",M407&lt;&gt;""),"partial","no"))</f>
        <v>no</v>
      </c>
    </row>
    <row r="408" customFormat="false" ht="15" hidden="false" customHeight="true" outlineLevel="0" collapsed="false">
      <c r="A408" s="11" t="s">
        <v>12</v>
      </c>
      <c r="B408" s="11" t="s">
        <v>1192</v>
      </c>
      <c r="C408" s="11" t="s">
        <v>1193</v>
      </c>
      <c r="D408" s="11" t="s">
        <v>1167</v>
      </c>
      <c r="E408" s="11" t="s">
        <v>435</v>
      </c>
      <c r="F408" s="11"/>
      <c r="G408" s="11" t="s">
        <v>437</v>
      </c>
      <c r="H408" s="11" t="s">
        <v>438</v>
      </c>
      <c r="I408" s="11"/>
      <c r="J408" s="12" t="s">
        <v>439</v>
      </c>
      <c r="K408" s="12" t="s">
        <v>439</v>
      </c>
      <c r="L408" s="13"/>
      <c r="M408" s="13"/>
      <c r="N408" s="11" t="str">
        <f aca="false">IF(AND(L408&lt;&gt;"",M408&lt;&gt;""),"yes",IF(OR(L408&lt;&gt;"",M408&lt;&gt;""),"partial","no"))</f>
        <v>no</v>
      </c>
    </row>
    <row r="409" customFormat="false" ht="15" hidden="false" customHeight="true" outlineLevel="0" collapsed="false">
      <c r="A409" s="11" t="s">
        <v>12</v>
      </c>
      <c r="B409" s="11" t="s">
        <v>1194</v>
      </c>
      <c r="C409" s="11" t="s">
        <v>1195</v>
      </c>
      <c r="D409" s="11" t="s">
        <v>1167</v>
      </c>
      <c r="E409" s="11" t="s">
        <v>435</v>
      </c>
      <c r="F409" s="11"/>
      <c r="G409" s="11" t="s">
        <v>437</v>
      </c>
      <c r="H409" s="11" t="s">
        <v>438</v>
      </c>
      <c r="I409" s="11"/>
      <c r="J409" s="12" t="s">
        <v>439</v>
      </c>
      <c r="K409" s="12" t="s">
        <v>439</v>
      </c>
      <c r="L409" s="13"/>
      <c r="M409" s="13"/>
      <c r="N409" s="11" t="str">
        <f aca="false">IF(AND(L409&lt;&gt;"",M409&lt;&gt;""),"yes",IF(OR(L409&lt;&gt;"",M409&lt;&gt;""),"partial","no"))</f>
        <v>no</v>
      </c>
    </row>
    <row r="410" customFormat="false" ht="15" hidden="false" customHeight="true" outlineLevel="0" collapsed="false">
      <c r="A410" s="11" t="s">
        <v>12</v>
      </c>
      <c r="B410" s="11" t="s">
        <v>1196</v>
      </c>
      <c r="C410" s="11" t="s">
        <v>1197</v>
      </c>
      <c r="D410" s="11" t="s">
        <v>1167</v>
      </c>
      <c r="E410" s="11" t="s">
        <v>435</v>
      </c>
      <c r="F410" s="11"/>
      <c r="G410" s="11" t="s">
        <v>474</v>
      </c>
      <c r="H410" s="11" t="s">
        <v>438</v>
      </c>
      <c r="I410" s="11"/>
      <c r="J410" s="12" t="s">
        <v>439</v>
      </c>
      <c r="K410" s="12" t="s">
        <v>439</v>
      </c>
      <c r="L410" s="13" t="s">
        <v>1198</v>
      </c>
      <c r="M410" s="13"/>
      <c r="N410" s="11" t="str">
        <f aca="false">IF(AND(L410&lt;&gt;"",M410&lt;&gt;""),"yes",IF(OR(L410&lt;&gt;"",M410&lt;&gt;""),"partial","no"))</f>
        <v>partial</v>
      </c>
    </row>
    <row r="411" customFormat="false" ht="15" hidden="false" customHeight="true" outlineLevel="0" collapsed="false">
      <c r="A411" s="11" t="s">
        <v>13</v>
      </c>
      <c r="B411" s="11"/>
      <c r="C411" s="11" t="s">
        <v>1199</v>
      </c>
      <c r="D411" s="11" t="s">
        <v>1200</v>
      </c>
      <c r="E411" s="11"/>
      <c r="F411" s="11" t="s">
        <v>1201</v>
      </c>
      <c r="G411" s="11" t="s">
        <v>438</v>
      </c>
      <c r="H411" s="11" t="s">
        <v>438</v>
      </c>
      <c r="I411" s="11"/>
      <c r="J411" s="12" t="s">
        <v>439</v>
      </c>
      <c r="K411" s="12" t="s">
        <v>439</v>
      </c>
      <c r="L411" s="13"/>
      <c r="M411" s="13"/>
      <c r="N411" s="11" t="str">
        <f aca="false">IF(AND(L411&lt;&gt;"",M411&lt;&gt;""),"yes",IF(OR(L411&lt;&gt;"",M411&lt;&gt;""),"partial","no"))</f>
        <v>no</v>
      </c>
    </row>
    <row r="412" customFormat="false" ht="15" hidden="false" customHeight="true" outlineLevel="0" collapsed="false">
      <c r="A412" s="11" t="s">
        <v>13</v>
      </c>
      <c r="B412" s="11"/>
      <c r="C412" s="11" t="s">
        <v>1202</v>
      </c>
      <c r="D412" s="11" t="s">
        <v>1200</v>
      </c>
      <c r="E412" s="11"/>
      <c r="F412" s="11" t="s">
        <v>1201</v>
      </c>
      <c r="G412" s="11" t="s">
        <v>438</v>
      </c>
      <c r="H412" s="11" t="s">
        <v>438</v>
      </c>
      <c r="I412" s="11"/>
      <c r="J412" s="12" t="s">
        <v>439</v>
      </c>
      <c r="K412" s="12" t="s">
        <v>439</v>
      </c>
      <c r="L412" s="13"/>
      <c r="M412" s="13"/>
      <c r="N412" s="11" t="str">
        <f aca="false">IF(AND(L412&lt;&gt;"",M412&lt;&gt;""),"yes",IF(OR(L412&lt;&gt;"",M412&lt;&gt;""),"partial","no"))</f>
        <v>no</v>
      </c>
    </row>
    <row r="413" customFormat="false" ht="15" hidden="false" customHeight="true" outlineLevel="0" collapsed="false">
      <c r="A413" s="11" t="s">
        <v>13</v>
      </c>
      <c r="B413" s="11"/>
      <c r="C413" s="11" t="s">
        <v>1203</v>
      </c>
      <c r="D413" s="11" t="s">
        <v>1200</v>
      </c>
      <c r="E413" s="11"/>
      <c r="F413" s="11" t="s">
        <v>1201</v>
      </c>
      <c r="G413" s="11" t="s">
        <v>438</v>
      </c>
      <c r="H413" s="11" t="s">
        <v>438</v>
      </c>
      <c r="I413" s="11"/>
      <c r="J413" s="12" t="s">
        <v>439</v>
      </c>
      <c r="K413" s="12" t="s">
        <v>439</v>
      </c>
      <c r="L413" s="13"/>
      <c r="M413" s="13"/>
      <c r="N413" s="11" t="str">
        <f aca="false">IF(AND(L413&lt;&gt;"",M413&lt;&gt;""),"yes",IF(OR(L413&lt;&gt;"",M413&lt;&gt;""),"partial","no"))</f>
        <v>no</v>
      </c>
    </row>
    <row r="414" customFormat="false" ht="15" hidden="false" customHeight="true" outlineLevel="0" collapsed="false">
      <c r="A414" s="11" t="s">
        <v>13</v>
      </c>
      <c r="B414" s="11"/>
      <c r="C414" s="11" t="s">
        <v>1204</v>
      </c>
      <c r="D414" s="11" t="s">
        <v>1200</v>
      </c>
      <c r="E414" s="11"/>
      <c r="F414" s="11" t="s">
        <v>1201</v>
      </c>
      <c r="G414" s="11" t="s">
        <v>438</v>
      </c>
      <c r="H414" s="11" t="s">
        <v>438</v>
      </c>
      <c r="I414" s="11"/>
      <c r="J414" s="12" t="s">
        <v>439</v>
      </c>
      <c r="K414" s="12" t="s">
        <v>439</v>
      </c>
      <c r="L414" s="13"/>
      <c r="M414" s="13"/>
      <c r="N414" s="11" t="str">
        <f aca="false">IF(AND(L414&lt;&gt;"",M414&lt;&gt;""),"yes",IF(OR(L414&lt;&gt;"",M414&lt;&gt;""),"partial","no"))</f>
        <v>no</v>
      </c>
    </row>
    <row r="415" customFormat="false" ht="15" hidden="false" customHeight="true" outlineLevel="0" collapsed="false">
      <c r="A415" s="11" t="s">
        <v>13</v>
      </c>
      <c r="B415" s="11"/>
      <c r="C415" s="11" t="s">
        <v>1205</v>
      </c>
      <c r="D415" s="11" t="s">
        <v>1200</v>
      </c>
      <c r="E415" s="11"/>
      <c r="F415" s="11" t="s">
        <v>1201</v>
      </c>
      <c r="G415" s="11" t="s">
        <v>438</v>
      </c>
      <c r="H415" s="11" t="s">
        <v>438</v>
      </c>
      <c r="I415" s="11"/>
      <c r="J415" s="12" t="s">
        <v>439</v>
      </c>
      <c r="K415" s="12" t="s">
        <v>439</v>
      </c>
      <c r="L415" s="13"/>
      <c r="M415" s="13"/>
      <c r="N415" s="11" t="str">
        <f aca="false">IF(AND(L415&lt;&gt;"",M415&lt;&gt;""),"yes",IF(OR(L415&lt;&gt;"",M415&lt;&gt;""),"partial","no"))</f>
        <v>no</v>
      </c>
    </row>
    <row r="416" customFormat="false" ht="15" hidden="false" customHeight="true" outlineLevel="0" collapsed="false">
      <c r="A416" s="11" t="s">
        <v>13</v>
      </c>
      <c r="B416" s="11"/>
      <c r="C416" s="11" t="s">
        <v>1206</v>
      </c>
      <c r="D416" s="11" t="s">
        <v>1200</v>
      </c>
      <c r="E416" s="11"/>
      <c r="F416" s="11" t="s">
        <v>1201</v>
      </c>
      <c r="G416" s="11" t="s">
        <v>438</v>
      </c>
      <c r="H416" s="11" t="s">
        <v>438</v>
      </c>
      <c r="I416" s="11"/>
      <c r="J416" s="12" t="s">
        <v>439</v>
      </c>
      <c r="K416" s="12" t="s">
        <v>439</v>
      </c>
      <c r="L416" s="13"/>
      <c r="M416" s="13"/>
      <c r="N416" s="11" t="str">
        <f aca="false">IF(AND(L416&lt;&gt;"",M416&lt;&gt;""),"yes",IF(OR(L416&lt;&gt;"",M416&lt;&gt;""),"partial","no"))</f>
        <v>no</v>
      </c>
    </row>
    <row r="417" customFormat="false" ht="15" hidden="false" customHeight="true" outlineLevel="0" collapsed="false">
      <c r="A417" s="11" t="s">
        <v>13</v>
      </c>
      <c r="B417" s="11"/>
      <c r="C417" s="11" t="s">
        <v>1207</v>
      </c>
      <c r="D417" s="11" t="s">
        <v>1200</v>
      </c>
      <c r="E417" s="11"/>
      <c r="F417" s="11" t="s">
        <v>1201</v>
      </c>
      <c r="G417" s="11" t="s">
        <v>438</v>
      </c>
      <c r="H417" s="11" t="s">
        <v>438</v>
      </c>
      <c r="I417" s="11"/>
      <c r="J417" s="12" t="s">
        <v>439</v>
      </c>
      <c r="K417" s="12" t="s">
        <v>439</v>
      </c>
      <c r="L417" s="13"/>
      <c r="M417" s="13"/>
      <c r="N417" s="11" t="str">
        <f aca="false">IF(AND(L417&lt;&gt;"",M417&lt;&gt;""),"yes",IF(OR(L417&lt;&gt;"",M417&lt;&gt;""),"partial","no"))</f>
        <v>no</v>
      </c>
    </row>
    <row r="418" customFormat="false" ht="15" hidden="false" customHeight="true" outlineLevel="0" collapsed="false">
      <c r="A418" s="11" t="s">
        <v>13</v>
      </c>
      <c r="B418" s="11"/>
      <c r="C418" s="11" t="s">
        <v>1208</v>
      </c>
      <c r="D418" s="11" t="s">
        <v>1200</v>
      </c>
      <c r="E418" s="11"/>
      <c r="F418" s="11" t="s">
        <v>1201</v>
      </c>
      <c r="G418" s="11" t="s">
        <v>438</v>
      </c>
      <c r="H418" s="11" t="s">
        <v>438</v>
      </c>
      <c r="I418" s="11"/>
      <c r="J418" s="12" t="s">
        <v>439</v>
      </c>
      <c r="K418" s="12" t="s">
        <v>439</v>
      </c>
      <c r="L418" s="13"/>
      <c r="M418" s="13"/>
      <c r="N418" s="11" t="str">
        <f aca="false">IF(AND(L418&lt;&gt;"",M418&lt;&gt;""),"yes",IF(OR(L418&lt;&gt;"",M418&lt;&gt;""),"partial","no"))</f>
        <v>no</v>
      </c>
    </row>
    <row r="419" customFormat="false" ht="15" hidden="false" customHeight="true" outlineLevel="0" collapsed="false">
      <c r="A419" s="11" t="s">
        <v>13</v>
      </c>
      <c r="B419" s="11"/>
      <c r="C419" s="11" t="s">
        <v>1209</v>
      </c>
      <c r="D419" s="11" t="s">
        <v>1200</v>
      </c>
      <c r="E419" s="11"/>
      <c r="F419" s="11" t="s">
        <v>1201</v>
      </c>
      <c r="G419" s="11" t="s">
        <v>438</v>
      </c>
      <c r="H419" s="11" t="s">
        <v>438</v>
      </c>
      <c r="I419" s="11"/>
      <c r="J419" s="12" t="s">
        <v>439</v>
      </c>
      <c r="K419" s="12" t="s">
        <v>439</v>
      </c>
      <c r="L419" s="13"/>
      <c r="M419" s="13"/>
      <c r="N419" s="11" t="str">
        <f aca="false">IF(AND(L419&lt;&gt;"",M419&lt;&gt;""),"yes",IF(OR(L419&lt;&gt;"",M419&lt;&gt;""),"partial","no"))</f>
        <v>no</v>
      </c>
    </row>
    <row r="420" customFormat="false" ht="15" hidden="false" customHeight="true" outlineLevel="0" collapsed="false">
      <c r="A420" s="11" t="s">
        <v>13</v>
      </c>
      <c r="B420" s="11"/>
      <c r="C420" s="11" t="s">
        <v>1210</v>
      </c>
      <c r="D420" s="11" t="s">
        <v>1200</v>
      </c>
      <c r="E420" s="11"/>
      <c r="F420" s="11" t="s">
        <v>1201</v>
      </c>
      <c r="G420" s="11" t="s">
        <v>438</v>
      </c>
      <c r="H420" s="11" t="s">
        <v>438</v>
      </c>
      <c r="I420" s="11"/>
      <c r="J420" s="12" t="s">
        <v>439</v>
      </c>
      <c r="K420" s="12" t="s">
        <v>439</v>
      </c>
      <c r="L420" s="13"/>
      <c r="M420" s="13"/>
      <c r="N420" s="11" t="str">
        <f aca="false">IF(AND(L420&lt;&gt;"",M420&lt;&gt;""),"yes",IF(OR(L420&lt;&gt;"",M420&lt;&gt;""),"partial","no"))</f>
        <v>no</v>
      </c>
    </row>
    <row r="421" customFormat="false" ht="15" hidden="false" customHeight="true" outlineLevel="0" collapsed="false">
      <c r="A421" s="11" t="s">
        <v>13</v>
      </c>
      <c r="B421" s="11"/>
      <c r="C421" s="11" t="s">
        <v>1211</v>
      </c>
      <c r="D421" s="11" t="s">
        <v>1200</v>
      </c>
      <c r="E421" s="11"/>
      <c r="F421" s="11" t="s">
        <v>1201</v>
      </c>
      <c r="G421" s="11" t="s">
        <v>438</v>
      </c>
      <c r="H421" s="11" t="s">
        <v>438</v>
      </c>
      <c r="I421" s="11"/>
      <c r="J421" s="12" t="s">
        <v>439</v>
      </c>
      <c r="K421" s="12" t="s">
        <v>439</v>
      </c>
      <c r="L421" s="13"/>
      <c r="M421" s="13"/>
      <c r="N421" s="11" t="str">
        <f aca="false">IF(AND(L421&lt;&gt;"",M421&lt;&gt;""),"yes",IF(OR(L421&lt;&gt;"",M421&lt;&gt;""),"partial","no"))</f>
        <v>no</v>
      </c>
    </row>
    <row r="422" customFormat="false" ht="15" hidden="false" customHeight="true" outlineLevel="0" collapsed="false">
      <c r="A422" s="11" t="s">
        <v>13</v>
      </c>
      <c r="B422" s="11"/>
      <c r="C422" s="11" t="s">
        <v>1212</v>
      </c>
      <c r="D422" s="11" t="s">
        <v>1200</v>
      </c>
      <c r="E422" s="11"/>
      <c r="F422" s="11" t="s">
        <v>1201</v>
      </c>
      <c r="G422" s="11" t="s">
        <v>438</v>
      </c>
      <c r="H422" s="11" t="s">
        <v>438</v>
      </c>
      <c r="I422" s="11"/>
      <c r="J422" s="12" t="s">
        <v>439</v>
      </c>
      <c r="K422" s="12" t="s">
        <v>439</v>
      </c>
      <c r="L422" s="13"/>
      <c r="M422" s="13"/>
      <c r="N422" s="11" t="str">
        <f aca="false">IF(AND(L422&lt;&gt;"",M422&lt;&gt;""),"yes",IF(OR(L422&lt;&gt;"",M422&lt;&gt;""),"partial","no"))</f>
        <v>no</v>
      </c>
    </row>
    <row r="423" customFormat="false" ht="15" hidden="false" customHeight="true" outlineLevel="0" collapsed="false">
      <c r="A423" s="11" t="s">
        <v>13</v>
      </c>
      <c r="B423" s="11"/>
      <c r="C423" s="11" t="s">
        <v>1213</v>
      </c>
      <c r="D423" s="11" t="s">
        <v>1200</v>
      </c>
      <c r="E423" s="11"/>
      <c r="F423" s="11" t="s">
        <v>1201</v>
      </c>
      <c r="G423" s="11" t="s">
        <v>438</v>
      </c>
      <c r="H423" s="11" t="s">
        <v>438</v>
      </c>
      <c r="I423" s="11"/>
      <c r="J423" s="12" t="s">
        <v>439</v>
      </c>
      <c r="K423" s="12" t="s">
        <v>439</v>
      </c>
      <c r="L423" s="13"/>
      <c r="M423" s="13"/>
      <c r="N423" s="11" t="str">
        <f aca="false">IF(AND(L423&lt;&gt;"",M423&lt;&gt;""),"yes",IF(OR(L423&lt;&gt;"",M423&lt;&gt;""),"partial","no"))</f>
        <v>no</v>
      </c>
    </row>
    <row r="424" customFormat="false" ht="15" hidden="false" customHeight="true" outlineLevel="0" collapsed="false">
      <c r="A424" s="11" t="s">
        <v>13</v>
      </c>
      <c r="B424" s="11"/>
      <c r="C424" s="11" t="s">
        <v>1214</v>
      </c>
      <c r="D424" s="11" t="s">
        <v>1200</v>
      </c>
      <c r="E424" s="11"/>
      <c r="F424" s="11" t="s">
        <v>1201</v>
      </c>
      <c r="G424" s="11" t="s">
        <v>438</v>
      </c>
      <c r="H424" s="11" t="s">
        <v>438</v>
      </c>
      <c r="I424" s="11"/>
      <c r="J424" s="12" t="s">
        <v>439</v>
      </c>
      <c r="K424" s="12" t="s">
        <v>439</v>
      </c>
      <c r="L424" s="13"/>
      <c r="M424" s="13"/>
      <c r="N424" s="11" t="str">
        <f aca="false">IF(AND(L424&lt;&gt;"",M424&lt;&gt;""),"yes",IF(OR(L424&lt;&gt;"",M424&lt;&gt;""),"partial","no"))</f>
        <v>no</v>
      </c>
    </row>
    <row r="425" customFormat="false" ht="15" hidden="false" customHeight="true" outlineLevel="0" collapsed="false">
      <c r="A425" s="11" t="s">
        <v>13</v>
      </c>
      <c r="B425" s="11"/>
      <c r="C425" s="11" t="s">
        <v>1215</v>
      </c>
      <c r="D425" s="11" t="s">
        <v>1200</v>
      </c>
      <c r="E425" s="11"/>
      <c r="F425" s="11" t="s">
        <v>1201</v>
      </c>
      <c r="G425" s="11" t="s">
        <v>438</v>
      </c>
      <c r="H425" s="11" t="s">
        <v>438</v>
      </c>
      <c r="I425" s="11"/>
      <c r="J425" s="12" t="s">
        <v>439</v>
      </c>
      <c r="K425" s="12" t="s">
        <v>439</v>
      </c>
      <c r="L425" s="13"/>
      <c r="M425" s="13"/>
      <c r="N425" s="11" t="str">
        <f aca="false">IF(AND(L425&lt;&gt;"",M425&lt;&gt;""),"yes",IF(OR(L425&lt;&gt;"",M425&lt;&gt;""),"partial","no"))</f>
        <v>no</v>
      </c>
    </row>
    <row r="426" customFormat="false" ht="15" hidden="false" customHeight="true" outlineLevel="0" collapsed="false">
      <c r="A426" s="11" t="s">
        <v>13</v>
      </c>
      <c r="B426" s="11"/>
      <c r="C426" s="11" t="s">
        <v>1216</v>
      </c>
      <c r="D426" s="11" t="s">
        <v>1200</v>
      </c>
      <c r="E426" s="11"/>
      <c r="F426" s="11" t="s">
        <v>1201</v>
      </c>
      <c r="G426" s="11" t="s">
        <v>438</v>
      </c>
      <c r="H426" s="11" t="s">
        <v>438</v>
      </c>
      <c r="I426" s="11"/>
      <c r="J426" s="12" t="s">
        <v>439</v>
      </c>
      <c r="K426" s="12" t="s">
        <v>439</v>
      </c>
      <c r="L426" s="13"/>
      <c r="M426" s="13"/>
      <c r="N426" s="11" t="str">
        <f aca="false">IF(AND(L426&lt;&gt;"",M426&lt;&gt;""),"yes",IF(OR(L426&lt;&gt;"",M426&lt;&gt;""),"partial","no"))</f>
        <v>no</v>
      </c>
    </row>
    <row r="427" customFormat="false" ht="15" hidden="false" customHeight="true" outlineLevel="0" collapsed="false">
      <c r="A427" s="11" t="s">
        <v>13</v>
      </c>
      <c r="B427" s="11"/>
      <c r="C427" s="11" t="s">
        <v>1217</v>
      </c>
      <c r="D427" s="11" t="s">
        <v>1200</v>
      </c>
      <c r="E427" s="11"/>
      <c r="F427" s="11" t="s">
        <v>1201</v>
      </c>
      <c r="G427" s="11" t="s">
        <v>438</v>
      </c>
      <c r="H427" s="11" t="s">
        <v>438</v>
      </c>
      <c r="I427" s="11"/>
      <c r="J427" s="12" t="s">
        <v>439</v>
      </c>
      <c r="K427" s="12" t="s">
        <v>439</v>
      </c>
      <c r="L427" s="13"/>
      <c r="M427" s="13"/>
      <c r="N427" s="11" t="str">
        <f aca="false">IF(AND(L427&lt;&gt;"",M427&lt;&gt;""),"yes",IF(OR(L427&lt;&gt;"",M427&lt;&gt;""),"partial","no"))</f>
        <v>no</v>
      </c>
    </row>
    <row r="428" customFormat="false" ht="15" hidden="false" customHeight="true" outlineLevel="0" collapsed="false">
      <c r="A428" s="11" t="s">
        <v>13</v>
      </c>
      <c r="B428" s="11"/>
      <c r="C428" s="11" t="s">
        <v>1218</v>
      </c>
      <c r="D428" s="11" t="s">
        <v>1200</v>
      </c>
      <c r="E428" s="11"/>
      <c r="F428" s="11" t="s">
        <v>1201</v>
      </c>
      <c r="G428" s="11" t="s">
        <v>438</v>
      </c>
      <c r="H428" s="11" t="s">
        <v>438</v>
      </c>
      <c r="I428" s="11"/>
      <c r="J428" s="12" t="s">
        <v>439</v>
      </c>
      <c r="K428" s="12" t="s">
        <v>439</v>
      </c>
      <c r="L428" s="13"/>
      <c r="M428" s="13"/>
      <c r="N428" s="11" t="str">
        <f aca="false">IF(AND(L428&lt;&gt;"",M428&lt;&gt;""),"yes",IF(OR(L428&lt;&gt;"",M428&lt;&gt;""),"partial","no"))</f>
        <v>no</v>
      </c>
    </row>
    <row r="429" customFormat="false" ht="15" hidden="false" customHeight="true" outlineLevel="0" collapsed="false">
      <c r="A429" s="11" t="s">
        <v>13</v>
      </c>
      <c r="B429" s="11"/>
      <c r="C429" s="11" t="s">
        <v>1219</v>
      </c>
      <c r="D429" s="11" t="s">
        <v>1200</v>
      </c>
      <c r="E429" s="11"/>
      <c r="F429" s="11" t="s">
        <v>1201</v>
      </c>
      <c r="G429" s="11" t="s">
        <v>438</v>
      </c>
      <c r="H429" s="11" t="s">
        <v>438</v>
      </c>
      <c r="I429" s="11"/>
      <c r="J429" s="12" t="s">
        <v>439</v>
      </c>
      <c r="K429" s="12" t="s">
        <v>439</v>
      </c>
      <c r="L429" s="13"/>
      <c r="M429" s="13"/>
      <c r="N429" s="11" t="str">
        <f aca="false">IF(AND(L429&lt;&gt;"",M429&lt;&gt;""),"yes",IF(OR(L429&lt;&gt;"",M429&lt;&gt;""),"partial","no"))</f>
        <v>no</v>
      </c>
    </row>
    <row r="430" customFormat="false" ht="15" hidden="false" customHeight="true" outlineLevel="0" collapsed="false">
      <c r="A430" s="11" t="s">
        <v>13</v>
      </c>
      <c r="B430" s="11"/>
      <c r="C430" s="11" t="s">
        <v>1220</v>
      </c>
      <c r="D430" s="11" t="s">
        <v>1200</v>
      </c>
      <c r="E430" s="11"/>
      <c r="F430" s="11" t="s">
        <v>1201</v>
      </c>
      <c r="G430" s="11" t="s">
        <v>438</v>
      </c>
      <c r="H430" s="11" t="s">
        <v>438</v>
      </c>
      <c r="I430" s="11"/>
      <c r="J430" s="12" t="s">
        <v>439</v>
      </c>
      <c r="K430" s="12" t="s">
        <v>439</v>
      </c>
      <c r="L430" s="13"/>
      <c r="M430" s="13"/>
      <c r="N430" s="11" t="str">
        <f aca="false">IF(AND(L430&lt;&gt;"",M430&lt;&gt;""),"yes",IF(OR(L430&lt;&gt;"",M430&lt;&gt;""),"partial","no"))</f>
        <v>no</v>
      </c>
    </row>
    <row r="431" customFormat="false" ht="15" hidden="false" customHeight="true" outlineLevel="0" collapsed="false">
      <c r="A431" s="11" t="s">
        <v>13</v>
      </c>
      <c r="B431" s="11"/>
      <c r="C431" s="11" t="s">
        <v>1221</v>
      </c>
      <c r="D431" s="11" t="s">
        <v>1200</v>
      </c>
      <c r="E431" s="11"/>
      <c r="F431" s="11" t="s">
        <v>1201</v>
      </c>
      <c r="G431" s="11" t="s">
        <v>438</v>
      </c>
      <c r="H431" s="11" t="s">
        <v>438</v>
      </c>
      <c r="I431" s="11"/>
      <c r="J431" s="12" t="s">
        <v>439</v>
      </c>
      <c r="K431" s="12" t="s">
        <v>439</v>
      </c>
      <c r="L431" s="13"/>
      <c r="M431" s="13"/>
      <c r="N431" s="11" t="str">
        <f aca="false">IF(AND(L431&lt;&gt;"",M431&lt;&gt;""),"yes",IF(OR(L431&lt;&gt;"",M431&lt;&gt;""),"partial","no"))</f>
        <v>no</v>
      </c>
    </row>
    <row r="432" customFormat="false" ht="15" hidden="false" customHeight="true" outlineLevel="0" collapsed="false">
      <c r="A432" s="11" t="s">
        <v>13</v>
      </c>
      <c r="B432" s="11"/>
      <c r="C432" s="11" t="s">
        <v>1222</v>
      </c>
      <c r="D432" s="11" t="s">
        <v>1200</v>
      </c>
      <c r="E432" s="11"/>
      <c r="F432" s="11" t="s">
        <v>1201</v>
      </c>
      <c r="G432" s="11" t="s">
        <v>438</v>
      </c>
      <c r="H432" s="11" t="s">
        <v>438</v>
      </c>
      <c r="I432" s="11"/>
      <c r="J432" s="12" t="s">
        <v>439</v>
      </c>
      <c r="K432" s="12" t="s">
        <v>439</v>
      </c>
      <c r="L432" s="13"/>
      <c r="M432" s="13"/>
      <c r="N432" s="11" t="str">
        <f aca="false">IF(AND(L432&lt;&gt;"",M432&lt;&gt;""),"yes",IF(OR(L432&lt;&gt;"",M432&lt;&gt;""),"partial","no"))</f>
        <v>no</v>
      </c>
    </row>
    <row r="433" customFormat="false" ht="15" hidden="false" customHeight="true" outlineLevel="0" collapsed="false">
      <c r="A433" s="11" t="s">
        <v>13</v>
      </c>
      <c r="B433" s="11"/>
      <c r="C433" s="11" t="s">
        <v>1223</v>
      </c>
      <c r="D433" s="11" t="s">
        <v>1200</v>
      </c>
      <c r="E433" s="11"/>
      <c r="F433" s="11" t="s">
        <v>1201</v>
      </c>
      <c r="G433" s="11" t="s">
        <v>438</v>
      </c>
      <c r="H433" s="11" t="s">
        <v>438</v>
      </c>
      <c r="I433" s="11"/>
      <c r="J433" s="12" t="s">
        <v>439</v>
      </c>
      <c r="K433" s="12" t="s">
        <v>439</v>
      </c>
      <c r="L433" s="13"/>
      <c r="M433" s="13"/>
      <c r="N433" s="11" t="str">
        <f aca="false">IF(AND(L433&lt;&gt;"",M433&lt;&gt;""),"yes",IF(OR(L433&lt;&gt;"",M433&lt;&gt;""),"partial","no"))</f>
        <v>no</v>
      </c>
    </row>
    <row r="434" customFormat="false" ht="15" hidden="false" customHeight="true" outlineLevel="0" collapsed="false">
      <c r="A434" s="11" t="s">
        <v>13</v>
      </c>
      <c r="B434" s="11"/>
      <c r="C434" s="11" t="s">
        <v>1224</v>
      </c>
      <c r="D434" s="11" t="s">
        <v>1200</v>
      </c>
      <c r="E434" s="11"/>
      <c r="F434" s="11" t="s">
        <v>1201</v>
      </c>
      <c r="G434" s="11" t="s">
        <v>438</v>
      </c>
      <c r="H434" s="11" t="s">
        <v>438</v>
      </c>
      <c r="I434" s="11"/>
      <c r="J434" s="12" t="s">
        <v>439</v>
      </c>
      <c r="K434" s="12" t="s">
        <v>439</v>
      </c>
      <c r="L434" s="13"/>
      <c r="M434" s="13"/>
      <c r="N434" s="11" t="str">
        <f aca="false">IF(AND(L434&lt;&gt;"",M434&lt;&gt;""),"yes",IF(OR(L434&lt;&gt;"",M434&lt;&gt;""),"partial","no"))</f>
        <v>no</v>
      </c>
    </row>
  </sheetData>
  <autoFilter ref="A1:N434"/>
  <hyperlinks>
    <hyperlink ref="J2" r:id="rId1" display="Search"/>
    <hyperlink ref="K2" r:id="rId2" display="Search"/>
    <hyperlink ref="J3" r:id="rId3" display="Search"/>
    <hyperlink ref="K3" r:id="rId4" display="Search"/>
    <hyperlink ref="J4" r:id="rId5" display="Search"/>
    <hyperlink ref="K4" r:id="rId6" display="Search"/>
    <hyperlink ref="J5" r:id="rId7" display="Search"/>
    <hyperlink ref="K5" r:id="rId8" display="Search"/>
    <hyperlink ref="J6" r:id="rId9" display="Search"/>
    <hyperlink ref="K6" r:id="rId10" display="Search"/>
    <hyperlink ref="J7" r:id="rId11" display="Search"/>
    <hyperlink ref="K7" r:id="rId12" display="Search"/>
    <hyperlink ref="J8" r:id="rId13" display="Search"/>
    <hyperlink ref="K8" r:id="rId14" display="Search"/>
    <hyperlink ref="J9" r:id="rId15" display="Search"/>
    <hyperlink ref="K9" r:id="rId16" display="Search"/>
    <hyperlink ref="J10" r:id="rId17" display="Search"/>
    <hyperlink ref="K10" r:id="rId18" display="Search"/>
    <hyperlink ref="J11" r:id="rId19" display="Search"/>
    <hyperlink ref="K11" r:id="rId20" display="Search"/>
    <hyperlink ref="J12" r:id="rId21" display="Search"/>
    <hyperlink ref="K12" r:id="rId22" display="Search"/>
    <hyperlink ref="J13" r:id="rId23" display="Search"/>
    <hyperlink ref="K13" r:id="rId24" display="Search"/>
    <hyperlink ref="J14" r:id="rId25" display="Search"/>
    <hyperlink ref="K14" r:id="rId26" display="Search"/>
    <hyperlink ref="J15" r:id="rId27" display="Search"/>
    <hyperlink ref="K15" r:id="rId28" display="Search"/>
    <hyperlink ref="J16" r:id="rId29" display="Search"/>
    <hyperlink ref="K16" r:id="rId30" display="Search"/>
    <hyperlink ref="J17" r:id="rId31" display="Search"/>
    <hyperlink ref="K17" r:id="rId32" display="Search"/>
    <hyperlink ref="J18" r:id="rId33" display="Search"/>
    <hyperlink ref="K18" r:id="rId34" display="Search"/>
    <hyperlink ref="J19" r:id="rId35" display="Search"/>
    <hyperlink ref="K19" r:id="rId36" display="Search"/>
    <hyperlink ref="J20" r:id="rId37" display="Search"/>
    <hyperlink ref="K20" r:id="rId38" display="Search"/>
    <hyperlink ref="J21" r:id="rId39" display="Search"/>
    <hyperlink ref="K21" r:id="rId40" display="Search"/>
    <hyperlink ref="J22" r:id="rId41" display="Search"/>
    <hyperlink ref="K22" r:id="rId42" display="Search"/>
    <hyperlink ref="J23" r:id="rId43" display="Search"/>
    <hyperlink ref="K23" r:id="rId44" display="Search"/>
    <hyperlink ref="J24" r:id="rId45" display="Search"/>
    <hyperlink ref="K24" r:id="rId46" display="Search"/>
    <hyperlink ref="J25" r:id="rId47" display="Search"/>
    <hyperlink ref="K25" r:id="rId48" display="Search"/>
    <hyperlink ref="J26" r:id="rId49" display="Search"/>
    <hyperlink ref="K26" r:id="rId50" display="Search"/>
    <hyperlink ref="J27" r:id="rId51" display="Search"/>
    <hyperlink ref="K27" r:id="rId52" display="Search"/>
    <hyperlink ref="J28" r:id="rId53" display="Search"/>
    <hyperlink ref="K28" r:id="rId54" display="Search"/>
    <hyperlink ref="J29" r:id="rId55" display="Search"/>
    <hyperlink ref="K29" r:id="rId56" display="Search"/>
    <hyperlink ref="J30" r:id="rId57" display="Search"/>
    <hyperlink ref="K30" r:id="rId58" display="Search"/>
    <hyperlink ref="J31" r:id="rId59" display="Search"/>
    <hyperlink ref="K31" r:id="rId60" display="Search"/>
    <hyperlink ref="J32" r:id="rId61" display="Search"/>
    <hyperlink ref="K32" r:id="rId62" display="Search"/>
    <hyperlink ref="J33" r:id="rId63" display="Search"/>
    <hyperlink ref="K33" r:id="rId64" display="Search"/>
    <hyperlink ref="J34" r:id="rId65" display="Search"/>
    <hyperlink ref="K34" r:id="rId66" display="Search"/>
    <hyperlink ref="J35" r:id="rId67" display="Search"/>
    <hyperlink ref="K35" r:id="rId68" display="Search"/>
    <hyperlink ref="J36" r:id="rId69" display="Search"/>
    <hyperlink ref="K36" r:id="rId70" display="Search"/>
    <hyperlink ref="J37" r:id="rId71" display="Search"/>
    <hyperlink ref="K37" r:id="rId72" display="Search"/>
    <hyperlink ref="J38" r:id="rId73" display="Search"/>
    <hyperlink ref="K38" r:id="rId74" display="Search"/>
    <hyperlink ref="J39" r:id="rId75" display="Search"/>
    <hyperlink ref="K39" r:id="rId76" display="Search"/>
    <hyperlink ref="J40" r:id="rId77" display="Search"/>
    <hyperlink ref="K40" r:id="rId78" display="Search"/>
    <hyperlink ref="J41" r:id="rId79" display="Search"/>
    <hyperlink ref="K41" r:id="rId80" display="Search"/>
    <hyperlink ref="J42" r:id="rId81" display="Search"/>
    <hyperlink ref="K42" r:id="rId82" display="Search"/>
    <hyperlink ref="J43" r:id="rId83" display="Search"/>
    <hyperlink ref="K43" r:id="rId84" display="Search"/>
    <hyperlink ref="J44" r:id="rId85" display="Search"/>
    <hyperlink ref="K44" r:id="rId86" display="Search"/>
    <hyperlink ref="J45" r:id="rId87" display="Search"/>
    <hyperlink ref="K45" r:id="rId88" display="Search"/>
    <hyperlink ref="J46" r:id="rId89" display="Search"/>
    <hyperlink ref="K46" r:id="rId90" display="Search"/>
    <hyperlink ref="J47" r:id="rId91" display="Search"/>
    <hyperlink ref="K47" r:id="rId92" display="Search"/>
    <hyperlink ref="J48" r:id="rId93" display="Search"/>
    <hyperlink ref="K48" r:id="rId94" display="Search"/>
    <hyperlink ref="J49" r:id="rId95" display="Search"/>
    <hyperlink ref="K49" r:id="rId96" display="Search"/>
    <hyperlink ref="J50" r:id="rId97" display="Search"/>
    <hyperlink ref="K50" r:id="rId98" display="Search"/>
    <hyperlink ref="J51" r:id="rId99" display="Search"/>
    <hyperlink ref="K51" r:id="rId100" display="Search"/>
    <hyperlink ref="J52" r:id="rId101" display="Search"/>
    <hyperlink ref="K52" r:id="rId102" display="Search"/>
    <hyperlink ref="J53" r:id="rId103" display="Search"/>
    <hyperlink ref="K53" r:id="rId104" display="Search"/>
    <hyperlink ref="J54" r:id="rId105" display="Search"/>
    <hyperlink ref="K54" r:id="rId106" display="Search"/>
    <hyperlink ref="J55" r:id="rId107" display="Search"/>
    <hyperlink ref="K55" r:id="rId108" display="Search"/>
    <hyperlink ref="J56" r:id="rId109" display="Search"/>
    <hyperlink ref="K56" r:id="rId110" display="Search"/>
    <hyperlink ref="J57" r:id="rId111" display="Search"/>
    <hyperlink ref="K57" r:id="rId112" display="Search"/>
    <hyperlink ref="J58" r:id="rId113" display="Search"/>
    <hyperlink ref="K58" r:id="rId114" display="Search"/>
    <hyperlink ref="J59" r:id="rId115" display="Search"/>
    <hyperlink ref="K59" r:id="rId116" display="Search"/>
    <hyperlink ref="J60" r:id="rId117" display="Search"/>
    <hyperlink ref="K60" r:id="rId118" display="Search"/>
    <hyperlink ref="J61" r:id="rId119" display="Search"/>
    <hyperlink ref="K61" r:id="rId120" display="Search"/>
    <hyperlink ref="J62" r:id="rId121" display="Search"/>
    <hyperlink ref="K62" r:id="rId122" display="Search"/>
    <hyperlink ref="J63" r:id="rId123" display="Search"/>
    <hyperlink ref="K63" r:id="rId124" display="Search"/>
    <hyperlink ref="J64" r:id="rId125" display="Search"/>
    <hyperlink ref="K64" r:id="rId126" display="Search"/>
    <hyperlink ref="J65" r:id="rId127" display="Search"/>
    <hyperlink ref="K65" r:id="rId128" display="Search"/>
    <hyperlink ref="J66" r:id="rId129" display="Search"/>
    <hyperlink ref="K66" r:id="rId130" display="Search"/>
    <hyperlink ref="J67" r:id="rId131" display="Search"/>
    <hyperlink ref="K67" r:id="rId132" display="Search"/>
    <hyperlink ref="J68" r:id="rId133" display="Search"/>
    <hyperlink ref="K68" r:id="rId134" display="Search"/>
    <hyperlink ref="J69" r:id="rId135" display="Search"/>
    <hyperlink ref="K69" r:id="rId136" display="Search"/>
    <hyperlink ref="J70" r:id="rId137" display="Search"/>
    <hyperlink ref="K70" r:id="rId138" display="Search"/>
    <hyperlink ref="J71" r:id="rId139" display="Search"/>
    <hyperlink ref="K71" r:id="rId140" display="Search"/>
    <hyperlink ref="J72" r:id="rId141" display="Search"/>
    <hyperlink ref="K72" r:id="rId142" display="Search"/>
    <hyperlink ref="J73" r:id="rId143" display="Search"/>
    <hyperlink ref="K73" r:id="rId144" display="Search"/>
    <hyperlink ref="J74" r:id="rId145" display="Search"/>
    <hyperlink ref="K74" r:id="rId146" display="Search"/>
    <hyperlink ref="J75" r:id="rId147" display="Search"/>
    <hyperlink ref="K75" r:id="rId148" display="Search"/>
    <hyperlink ref="J76" r:id="rId149" display="Search"/>
    <hyperlink ref="K76" r:id="rId150" display="Search"/>
    <hyperlink ref="J77" r:id="rId151" display="Search"/>
    <hyperlink ref="K77" r:id="rId152" display="Search"/>
    <hyperlink ref="J78" r:id="rId153" display="Search"/>
    <hyperlink ref="K78" r:id="rId154" display="Search"/>
    <hyperlink ref="J79" r:id="rId155" display="Search"/>
    <hyperlink ref="K79" r:id="rId156" display="Search"/>
    <hyperlink ref="J80" r:id="rId157" display="Search"/>
    <hyperlink ref="K80" r:id="rId158" display="Search"/>
    <hyperlink ref="J81" r:id="rId159" display="Search"/>
    <hyperlink ref="K81" r:id="rId160" display="Search"/>
    <hyperlink ref="J82" r:id="rId161" display="Search"/>
    <hyperlink ref="K82" r:id="rId162" display="Search"/>
    <hyperlink ref="J83" r:id="rId163" display="Search"/>
    <hyperlink ref="K83" r:id="rId164" display="Search"/>
    <hyperlink ref="J84" r:id="rId165" display="Search"/>
    <hyperlink ref="K84" r:id="rId166" display="Search"/>
    <hyperlink ref="J85" r:id="rId167" display="Search"/>
    <hyperlink ref="K85" r:id="rId168" display="Search"/>
    <hyperlink ref="J86" r:id="rId169" display="Search"/>
    <hyperlink ref="K86" r:id="rId170" display="Search"/>
    <hyperlink ref="J87" r:id="rId171" display="Search"/>
    <hyperlink ref="K87" r:id="rId172" display="Search"/>
    <hyperlink ref="J88" r:id="rId173" display="Search"/>
    <hyperlink ref="K88" r:id="rId174" display="Search"/>
    <hyperlink ref="J89" r:id="rId175" display="Search"/>
    <hyperlink ref="K89" r:id="rId176" display="Search"/>
    <hyperlink ref="J90" r:id="rId177" display="Search"/>
    <hyperlink ref="K90" r:id="rId178" display="Search"/>
    <hyperlink ref="J91" r:id="rId179" display="Search"/>
    <hyperlink ref="K91" r:id="rId180" display="Search"/>
    <hyperlink ref="J92" r:id="rId181" display="Search"/>
    <hyperlink ref="K92" r:id="rId182" display="Search"/>
    <hyperlink ref="J93" r:id="rId183" display="Search"/>
    <hyperlink ref="K93" r:id="rId184" display="Search"/>
    <hyperlink ref="J94" r:id="rId185" display="Search"/>
    <hyperlink ref="K94" r:id="rId186" display="Search"/>
    <hyperlink ref="J95" r:id="rId187" display="Search"/>
    <hyperlink ref="K95" r:id="rId188" display="Search"/>
    <hyperlink ref="J96" r:id="rId189" display="Search"/>
    <hyperlink ref="K96" r:id="rId190" display="Search"/>
    <hyperlink ref="J97" r:id="rId191" display="Search"/>
    <hyperlink ref="K97" r:id="rId192" display="Search"/>
    <hyperlink ref="J98" r:id="rId193" display="Search"/>
    <hyperlink ref="K98" r:id="rId194" display="Search"/>
    <hyperlink ref="J99" r:id="rId195" display="Search"/>
    <hyperlink ref="K99" r:id="rId196" display="Search"/>
    <hyperlink ref="J100" r:id="rId197" display="Search"/>
    <hyperlink ref="K100" r:id="rId198" display="Search"/>
    <hyperlink ref="J101" r:id="rId199" display="Search"/>
    <hyperlink ref="K101" r:id="rId200" display="Search"/>
    <hyperlink ref="J102" r:id="rId201" display="Search"/>
    <hyperlink ref="K102" r:id="rId202" display="Search"/>
    <hyperlink ref="J103" r:id="rId203" display="Search"/>
    <hyperlink ref="K103" r:id="rId204" display="Search"/>
    <hyperlink ref="J104" r:id="rId205" display="Search"/>
    <hyperlink ref="K104" r:id="rId206" display="Search"/>
    <hyperlink ref="J105" r:id="rId207" display="Search"/>
    <hyperlink ref="K105" r:id="rId208" display="Search"/>
    <hyperlink ref="J106" r:id="rId209" display="Search"/>
    <hyperlink ref="K106" r:id="rId210" display="Search"/>
    <hyperlink ref="J107" r:id="rId211" display="Search"/>
    <hyperlink ref="K107" r:id="rId212" display="Search"/>
    <hyperlink ref="J108" r:id="rId213" display="Search"/>
    <hyperlink ref="K108" r:id="rId214" display="Search"/>
    <hyperlink ref="J109" r:id="rId215" display="Search"/>
    <hyperlink ref="K109" r:id="rId216" display="Search"/>
    <hyperlink ref="J110" r:id="rId217" display="Search"/>
    <hyperlink ref="K110" r:id="rId218" display="Search"/>
    <hyperlink ref="J111" r:id="rId219" display="Search"/>
    <hyperlink ref="K111" r:id="rId220" display="Search"/>
    <hyperlink ref="J112" r:id="rId221" display="Search"/>
    <hyperlink ref="K112" r:id="rId222" display="Search"/>
    <hyperlink ref="J113" r:id="rId223" display="Search"/>
    <hyperlink ref="K113" r:id="rId224" display="Search"/>
    <hyperlink ref="J114" r:id="rId225" display="Search"/>
    <hyperlink ref="K114" r:id="rId226" display="Search"/>
    <hyperlink ref="J115" r:id="rId227" display="Search"/>
    <hyperlink ref="K115" r:id="rId228" display="Search"/>
    <hyperlink ref="J116" r:id="rId229" display="Search"/>
    <hyperlink ref="K116" r:id="rId230" display="Search"/>
    <hyperlink ref="J117" r:id="rId231" display="Search"/>
    <hyperlink ref="K117" r:id="rId232" display="Search"/>
    <hyperlink ref="J118" r:id="rId233" display="Search"/>
    <hyperlink ref="K118" r:id="rId234" display="Search"/>
    <hyperlink ref="J119" r:id="rId235" display="Search"/>
    <hyperlink ref="K119" r:id="rId236" display="Search"/>
    <hyperlink ref="J120" r:id="rId237" display="Search"/>
    <hyperlink ref="K120" r:id="rId238" display="Search"/>
    <hyperlink ref="J121" r:id="rId239" display="Search"/>
    <hyperlink ref="K121" r:id="rId240" display="Search"/>
    <hyperlink ref="J122" r:id="rId241" display="Search"/>
    <hyperlink ref="K122" r:id="rId242" display="Search"/>
    <hyperlink ref="J123" r:id="rId243" display="Search"/>
    <hyperlink ref="K123" r:id="rId244" display="Search"/>
    <hyperlink ref="J124" r:id="rId245" display="Search"/>
    <hyperlink ref="K124" r:id="rId246" display="Search"/>
    <hyperlink ref="J125" r:id="rId247" display="Search"/>
    <hyperlink ref="K125" r:id="rId248" display="Search"/>
    <hyperlink ref="J126" r:id="rId249" display="Search"/>
    <hyperlink ref="K126" r:id="rId250" display="Search"/>
    <hyperlink ref="J127" r:id="rId251" display="Search"/>
    <hyperlink ref="K127" r:id="rId252" display="Search"/>
    <hyperlink ref="J128" r:id="rId253" display="Search"/>
    <hyperlink ref="K128" r:id="rId254" display="Search"/>
    <hyperlink ref="J129" r:id="rId255" display="Search"/>
    <hyperlink ref="K129" r:id="rId256" display="Search"/>
    <hyperlink ref="J130" r:id="rId257" display="Search"/>
    <hyperlink ref="K130" r:id="rId258" display="Search"/>
    <hyperlink ref="J131" r:id="rId259" display="Search"/>
    <hyperlink ref="K131" r:id="rId260" display="Search"/>
    <hyperlink ref="J132" r:id="rId261" display="Search"/>
    <hyperlink ref="K132" r:id="rId262" display="Search"/>
    <hyperlink ref="J133" r:id="rId263" display="Search"/>
    <hyperlink ref="K133" r:id="rId264" display="Search"/>
    <hyperlink ref="J134" r:id="rId265" display="Search"/>
    <hyperlink ref="K134" r:id="rId266" display="Search"/>
    <hyperlink ref="J135" r:id="rId267" display="Search"/>
    <hyperlink ref="K135" r:id="rId268" display="Search"/>
    <hyperlink ref="J136" r:id="rId269" display="Search"/>
    <hyperlink ref="K136" r:id="rId270" display="Search"/>
    <hyperlink ref="J137" r:id="rId271" display="Search"/>
    <hyperlink ref="K137" r:id="rId272" display="Search"/>
    <hyperlink ref="J138" r:id="rId273" display="Search"/>
    <hyperlink ref="K138" r:id="rId274" display="Search"/>
    <hyperlink ref="J139" r:id="rId275" display="Search"/>
    <hyperlink ref="K139" r:id="rId276" display="Search"/>
    <hyperlink ref="J140" r:id="rId277" display="Search"/>
    <hyperlink ref="K140" r:id="rId278" display="Search"/>
    <hyperlink ref="J141" r:id="rId279" display="Search"/>
    <hyperlink ref="K141" r:id="rId280" display="Search"/>
    <hyperlink ref="J142" r:id="rId281" display="Search"/>
    <hyperlink ref="K142" r:id="rId282" display="Search"/>
    <hyperlink ref="J143" r:id="rId283" display="Search"/>
    <hyperlink ref="K143" r:id="rId284" display="Search"/>
    <hyperlink ref="J144" r:id="rId285" display="Search"/>
    <hyperlink ref="K144" r:id="rId286" display="Search"/>
    <hyperlink ref="J145" r:id="rId287" display="Search"/>
    <hyperlink ref="K145" r:id="rId288" display="Search"/>
    <hyperlink ref="J146" r:id="rId289" display="Search"/>
    <hyperlink ref="K146" r:id="rId290" display="Search"/>
    <hyperlink ref="J147" r:id="rId291" display="Search"/>
    <hyperlink ref="K147" r:id="rId292" display="Search"/>
    <hyperlink ref="J148" r:id="rId293" display="Search"/>
    <hyperlink ref="K148" r:id="rId294" display="Search"/>
    <hyperlink ref="J149" r:id="rId295" display="Search"/>
    <hyperlink ref="K149" r:id="rId296" display="Search"/>
    <hyperlink ref="J150" r:id="rId297" display="Search"/>
    <hyperlink ref="K150" r:id="rId298" display="Search"/>
    <hyperlink ref="J151" r:id="rId299" display="Search"/>
    <hyperlink ref="K151" r:id="rId300" display="Search"/>
    <hyperlink ref="J152" r:id="rId301" display="Search"/>
    <hyperlink ref="K152" r:id="rId302" display="Search"/>
    <hyperlink ref="J153" r:id="rId303" display="Search"/>
    <hyperlink ref="K153" r:id="rId304" display="Search"/>
    <hyperlink ref="J154" r:id="rId305" display="Search"/>
    <hyperlink ref="K154" r:id="rId306" display="Search"/>
    <hyperlink ref="J155" r:id="rId307" display="Search"/>
    <hyperlink ref="K155" r:id="rId308" display="Search"/>
    <hyperlink ref="J156" r:id="rId309" display="Search"/>
    <hyperlink ref="K156" r:id="rId310" display="Search"/>
    <hyperlink ref="J157" r:id="rId311" display="Search"/>
    <hyperlink ref="K157" r:id="rId312" display="Search"/>
    <hyperlink ref="J158" r:id="rId313" display="Search"/>
    <hyperlink ref="K158" r:id="rId314" display="Search"/>
    <hyperlink ref="J159" r:id="rId315" display="Search"/>
    <hyperlink ref="K159" r:id="rId316" display="Search"/>
    <hyperlink ref="J160" r:id="rId317" display="Search"/>
    <hyperlink ref="K160" r:id="rId318" display="Search"/>
    <hyperlink ref="J161" r:id="rId319" display="Search"/>
    <hyperlink ref="K161" r:id="rId320" display="Search"/>
    <hyperlink ref="J162" r:id="rId321" display="Search"/>
    <hyperlink ref="K162" r:id="rId322" display="Search"/>
    <hyperlink ref="J163" r:id="rId323" display="Search"/>
    <hyperlink ref="K163" r:id="rId324" display="Search"/>
    <hyperlink ref="J164" r:id="rId325" display="Search"/>
    <hyperlink ref="K164" r:id="rId326" display="Search"/>
    <hyperlink ref="J165" r:id="rId327" display="Search"/>
    <hyperlink ref="K165" r:id="rId328" display="Search"/>
    <hyperlink ref="J166" r:id="rId329" display="Search"/>
    <hyperlink ref="K166" r:id="rId330" display="Search"/>
    <hyperlink ref="J167" r:id="rId331" display="Search"/>
    <hyperlink ref="K167" r:id="rId332" display="Search"/>
    <hyperlink ref="J168" r:id="rId333" display="Search"/>
    <hyperlink ref="K168" r:id="rId334" display="Search"/>
    <hyperlink ref="J169" r:id="rId335" display="Search"/>
    <hyperlink ref="K169" r:id="rId336" display="Search"/>
    <hyperlink ref="J170" r:id="rId337" display="Search"/>
    <hyperlink ref="K170" r:id="rId338" display="Search"/>
    <hyperlink ref="J171" r:id="rId339" display="Search"/>
    <hyperlink ref="K171" r:id="rId340" display="Search"/>
    <hyperlink ref="J172" r:id="rId341" display="Search"/>
    <hyperlink ref="K172" r:id="rId342" display="Search"/>
    <hyperlink ref="J173" r:id="rId343" display="Search"/>
    <hyperlink ref="K173" r:id="rId344" display="Search"/>
    <hyperlink ref="J174" r:id="rId345" display="Search"/>
    <hyperlink ref="K174" r:id="rId346" display="Search"/>
    <hyperlink ref="J175" r:id="rId347" display="Search"/>
    <hyperlink ref="K175" r:id="rId348" display="Search"/>
    <hyperlink ref="J176" r:id="rId349" display="Search"/>
    <hyperlink ref="K176" r:id="rId350" display="Search"/>
    <hyperlink ref="J177" r:id="rId351" display="Search"/>
    <hyperlink ref="K177" r:id="rId352" display="Search"/>
    <hyperlink ref="J178" r:id="rId353" display="Search"/>
    <hyperlink ref="K178" r:id="rId354" display="Search"/>
    <hyperlink ref="J179" r:id="rId355" display="Search"/>
    <hyperlink ref="K179" r:id="rId356" display="Search"/>
    <hyperlink ref="J180" r:id="rId357" display="Search"/>
    <hyperlink ref="K180" r:id="rId358" display="Search"/>
    <hyperlink ref="J181" r:id="rId359" display="Search"/>
    <hyperlink ref="K181" r:id="rId360" display="Search"/>
    <hyperlink ref="J182" r:id="rId361" display="Search"/>
    <hyperlink ref="K182" r:id="rId362" display="Search"/>
    <hyperlink ref="J183" r:id="rId363" display="Search"/>
    <hyperlink ref="K183" r:id="rId364" display="Search"/>
    <hyperlink ref="J184" r:id="rId365" display="Search"/>
    <hyperlink ref="K184" r:id="rId366" display="Search"/>
    <hyperlink ref="J185" r:id="rId367" display="Search"/>
    <hyperlink ref="K185" r:id="rId368" display="Search"/>
    <hyperlink ref="J186" r:id="rId369" display="Search"/>
    <hyperlink ref="K186" r:id="rId370" display="Search"/>
    <hyperlink ref="J187" r:id="rId371" display="Search"/>
    <hyperlink ref="K187" r:id="rId372" display="Search"/>
    <hyperlink ref="J188" r:id="rId373" display="Search"/>
    <hyperlink ref="K188" r:id="rId374" display="Search"/>
    <hyperlink ref="J189" r:id="rId375" display="Search"/>
    <hyperlink ref="K189" r:id="rId376" display="Search"/>
    <hyperlink ref="J190" r:id="rId377" display="Search"/>
    <hyperlink ref="K190" r:id="rId378" display="Search"/>
    <hyperlink ref="J191" r:id="rId379" display="Search"/>
    <hyperlink ref="K191" r:id="rId380" display="Search"/>
    <hyperlink ref="J192" r:id="rId381" display="Search"/>
    <hyperlink ref="K192" r:id="rId382" display="Search"/>
    <hyperlink ref="J193" r:id="rId383" display="Search"/>
    <hyperlink ref="K193" r:id="rId384" display="Search"/>
    <hyperlink ref="J194" r:id="rId385" display="Search"/>
    <hyperlink ref="K194" r:id="rId386" display="Search"/>
    <hyperlink ref="J195" r:id="rId387" display="Search"/>
    <hyperlink ref="K195" r:id="rId388" display="Search"/>
    <hyperlink ref="J196" r:id="rId389" display="Search"/>
    <hyperlink ref="K196" r:id="rId390" display="Search"/>
    <hyperlink ref="J197" r:id="rId391" display="Search"/>
    <hyperlink ref="K197" r:id="rId392" display="Search"/>
    <hyperlink ref="J198" r:id="rId393" display="Search"/>
    <hyperlink ref="K198" r:id="rId394" display="Search"/>
    <hyperlink ref="J199" r:id="rId395" display="Search"/>
    <hyperlink ref="K199" r:id="rId396" display="Search"/>
    <hyperlink ref="J200" r:id="rId397" display="Search"/>
    <hyperlink ref="K200" r:id="rId398" display="Search"/>
    <hyperlink ref="J201" r:id="rId399" display="Search"/>
    <hyperlink ref="K201" r:id="rId400" display="Search"/>
    <hyperlink ref="J202" r:id="rId401" display="Search"/>
    <hyperlink ref="K202" r:id="rId402" display="Search"/>
    <hyperlink ref="J203" r:id="rId403" display="Search"/>
    <hyperlink ref="K203" r:id="rId404" display="Search"/>
    <hyperlink ref="J204" r:id="rId405" display="Search"/>
    <hyperlink ref="K204" r:id="rId406" display="Search"/>
    <hyperlink ref="J205" r:id="rId407" display="Search"/>
    <hyperlink ref="K205" r:id="rId408" display="Search"/>
    <hyperlink ref="J206" r:id="rId409" display="Search"/>
    <hyperlink ref="K206" r:id="rId410" display="Search"/>
    <hyperlink ref="J207" r:id="rId411" display="Search"/>
    <hyperlink ref="K207" r:id="rId412" display="Search"/>
    <hyperlink ref="J208" r:id="rId413" display="Search"/>
    <hyperlink ref="K208" r:id="rId414" display="Search"/>
    <hyperlink ref="J209" r:id="rId415" display="Search"/>
    <hyperlink ref="K209" r:id="rId416" display="Search"/>
    <hyperlink ref="J210" r:id="rId417" display="Search"/>
    <hyperlink ref="K210" r:id="rId418" display="Search"/>
    <hyperlink ref="J211" r:id="rId419" display="Search"/>
    <hyperlink ref="K211" r:id="rId420" display="Search"/>
    <hyperlink ref="J212" r:id="rId421" display="Search"/>
    <hyperlink ref="K212" r:id="rId422" display="Search"/>
    <hyperlink ref="J213" r:id="rId423" display="Search"/>
    <hyperlink ref="K213" r:id="rId424" display="Search"/>
    <hyperlink ref="J214" r:id="rId425" display="Search"/>
    <hyperlink ref="K214" r:id="rId426" display="Search"/>
    <hyperlink ref="J215" r:id="rId427" display="Search"/>
    <hyperlink ref="K215" r:id="rId428" display="Search"/>
    <hyperlink ref="J216" r:id="rId429" display="Search"/>
    <hyperlink ref="K216" r:id="rId430" display="Search"/>
    <hyperlink ref="J217" r:id="rId431" display="Search"/>
    <hyperlink ref="K217" r:id="rId432" display="Search"/>
    <hyperlink ref="J218" r:id="rId433" display="Search"/>
    <hyperlink ref="K218" r:id="rId434" display="Search"/>
    <hyperlink ref="J219" r:id="rId435" display="Search"/>
    <hyperlink ref="K219" r:id="rId436" display="Search"/>
    <hyperlink ref="J220" r:id="rId437" display="Search"/>
    <hyperlink ref="K220" r:id="rId438" display="Search"/>
    <hyperlink ref="J221" r:id="rId439" display="Search"/>
    <hyperlink ref="K221" r:id="rId440" display="Search"/>
    <hyperlink ref="J222" r:id="rId441" display="Search"/>
    <hyperlink ref="K222" r:id="rId442" display="Search"/>
    <hyperlink ref="J223" r:id="rId443" display="Search"/>
    <hyperlink ref="K223" r:id="rId444" display="Search"/>
    <hyperlink ref="J224" r:id="rId445" display="Search"/>
    <hyperlink ref="K224" r:id="rId446" display="Search"/>
    <hyperlink ref="J225" r:id="rId447" display="Search"/>
    <hyperlink ref="K225" r:id="rId448" display="Search"/>
    <hyperlink ref="J226" r:id="rId449" display="Search"/>
    <hyperlink ref="K226" r:id="rId450" display="Search"/>
    <hyperlink ref="J227" r:id="rId451" display="Search"/>
    <hyperlink ref="K227" r:id="rId452" display="Search"/>
    <hyperlink ref="J228" r:id="rId453" display="Search"/>
    <hyperlink ref="K228" r:id="rId454" display="Search"/>
    <hyperlink ref="J229" r:id="rId455" display="Search"/>
    <hyperlink ref="K229" r:id="rId456" display="Search"/>
    <hyperlink ref="J230" r:id="rId457" display="Search"/>
    <hyperlink ref="K230" r:id="rId458" display="Search"/>
    <hyperlink ref="J231" r:id="rId459" display="Search"/>
    <hyperlink ref="K231" r:id="rId460" display="Search"/>
    <hyperlink ref="J232" r:id="rId461" display="Search"/>
    <hyperlink ref="K232" r:id="rId462" display="Search"/>
    <hyperlink ref="J233" r:id="rId463" display="Search"/>
    <hyperlink ref="K233" r:id="rId464" display="Search"/>
    <hyperlink ref="J234" r:id="rId465" display="Search"/>
    <hyperlink ref="K234" r:id="rId466" display="Search"/>
    <hyperlink ref="J235" r:id="rId467" display="Search"/>
    <hyperlink ref="K235" r:id="rId468" display="Search"/>
    <hyperlink ref="J236" r:id="rId469" display="Search"/>
    <hyperlink ref="K236" r:id="rId470" display="Search"/>
    <hyperlink ref="J237" r:id="rId471" display="Search"/>
    <hyperlink ref="K237" r:id="rId472" display="Search"/>
    <hyperlink ref="J238" r:id="rId473" display="Search"/>
    <hyperlink ref="K238" r:id="rId474" display="Search"/>
    <hyperlink ref="J239" r:id="rId475" display="Search"/>
    <hyperlink ref="K239" r:id="rId476" display="Search"/>
    <hyperlink ref="J240" r:id="rId477" display="Search"/>
    <hyperlink ref="K240" r:id="rId478" display="Search"/>
    <hyperlink ref="J241" r:id="rId479" display="Search"/>
    <hyperlink ref="K241" r:id="rId480" display="Search"/>
    <hyperlink ref="J242" r:id="rId481" display="Search"/>
    <hyperlink ref="K242" r:id="rId482" display="Search"/>
    <hyperlink ref="J243" r:id="rId483" display="Search"/>
    <hyperlink ref="K243" r:id="rId484" display="Search"/>
    <hyperlink ref="J244" r:id="rId485" display="Search"/>
    <hyperlink ref="K244" r:id="rId486" display="Search"/>
    <hyperlink ref="J245" r:id="rId487" display="Search"/>
    <hyperlink ref="K245" r:id="rId488" display="Search"/>
    <hyperlink ref="J246" r:id="rId489" display="Search"/>
    <hyperlink ref="K246" r:id="rId490" display="Search"/>
    <hyperlink ref="J247" r:id="rId491" display="Search"/>
    <hyperlink ref="K247" r:id="rId492" display="Search"/>
    <hyperlink ref="J248" r:id="rId493" display="Search"/>
    <hyperlink ref="K248" r:id="rId494" display="Search"/>
    <hyperlink ref="J249" r:id="rId495" display="Search"/>
    <hyperlink ref="K249" r:id="rId496" display="Search"/>
    <hyperlink ref="J250" r:id="rId497" display="Search"/>
    <hyperlink ref="K250" r:id="rId498" display="Search"/>
    <hyperlink ref="J251" r:id="rId499" display="Search"/>
    <hyperlink ref="K251" r:id="rId500" display="Search"/>
    <hyperlink ref="J252" r:id="rId501" display="Search"/>
    <hyperlink ref="K252" r:id="rId502" display="Search"/>
    <hyperlink ref="J253" r:id="rId503" display="Search"/>
    <hyperlink ref="K253" r:id="rId504" display="Search"/>
    <hyperlink ref="J254" r:id="rId505" display="Search"/>
    <hyperlink ref="K254" r:id="rId506" display="Search"/>
    <hyperlink ref="J255" r:id="rId507" display="Search"/>
    <hyperlink ref="K255" r:id="rId508" display="Search"/>
    <hyperlink ref="J256" r:id="rId509" display="Search"/>
    <hyperlink ref="K256" r:id="rId510" display="Search"/>
    <hyperlink ref="J257" r:id="rId511" display="Search"/>
    <hyperlink ref="K257" r:id="rId512" display="Search"/>
    <hyperlink ref="J258" r:id="rId513" display="Search"/>
    <hyperlink ref="K258" r:id="rId514" display="Search"/>
    <hyperlink ref="J259" r:id="rId515" display="Search"/>
    <hyperlink ref="K259" r:id="rId516" display="Search"/>
    <hyperlink ref="J260" r:id="rId517" display="Search"/>
    <hyperlink ref="K260" r:id="rId518" display="Search"/>
    <hyperlink ref="J261" r:id="rId519" display="Search"/>
    <hyperlink ref="K261" r:id="rId520" display="Search"/>
    <hyperlink ref="J262" r:id="rId521" display="Search"/>
    <hyperlink ref="K262" r:id="rId522" display="Search"/>
    <hyperlink ref="J263" r:id="rId523" display="Search"/>
    <hyperlink ref="K263" r:id="rId524" display="Search"/>
    <hyperlink ref="J264" r:id="rId525" display="Search"/>
    <hyperlink ref="K264" r:id="rId526" display="Search"/>
    <hyperlink ref="J265" r:id="rId527" display="Search"/>
    <hyperlink ref="K265" r:id="rId528" display="Search"/>
    <hyperlink ref="J266" r:id="rId529" display="Search"/>
    <hyperlink ref="K266" r:id="rId530" display="Search"/>
    <hyperlink ref="J267" r:id="rId531" display="Search"/>
    <hyperlink ref="K267" r:id="rId532" display="Search"/>
    <hyperlink ref="J268" r:id="rId533" display="Search"/>
    <hyperlink ref="K268" r:id="rId534" display="Search"/>
    <hyperlink ref="J269" r:id="rId535" display="Search"/>
    <hyperlink ref="K269" r:id="rId536" display="Search"/>
    <hyperlink ref="J270" r:id="rId537" display="Search"/>
    <hyperlink ref="K270" r:id="rId538" display="Search"/>
    <hyperlink ref="J271" r:id="rId539" display="Search"/>
    <hyperlink ref="K271" r:id="rId540" display="Search"/>
    <hyperlink ref="J272" r:id="rId541" display="Search"/>
    <hyperlink ref="K272" r:id="rId542" display="Search"/>
    <hyperlink ref="J273" r:id="rId543" display="Search"/>
    <hyperlink ref="K273" r:id="rId544" display="Search"/>
    <hyperlink ref="J274" r:id="rId545" display="Search"/>
    <hyperlink ref="K274" r:id="rId546" display="Search"/>
    <hyperlink ref="J275" r:id="rId547" display="Search"/>
    <hyperlink ref="K275" r:id="rId548" display="Search"/>
    <hyperlink ref="J276" r:id="rId549" display="Search"/>
    <hyperlink ref="K276" r:id="rId550" display="Search"/>
    <hyperlink ref="J277" r:id="rId551" display="Search"/>
    <hyperlink ref="K277" r:id="rId552" display="Search"/>
    <hyperlink ref="J278" r:id="rId553" display="Search"/>
    <hyperlink ref="K278" r:id="rId554" display="Search"/>
    <hyperlink ref="J279" r:id="rId555" display="Search"/>
    <hyperlink ref="K279" r:id="rId556" display="Search"/>
    <hyperlink ref="J280" r:id="rId557" display="Search"/>
    <hyperlink ref="K280" r:id="rId558" display="Search"/>
    <hyperlink ref="J281" r:id="rId559" display="Search"/>
    <hyperlink ref="K281" r:id="rId560" display="Search"/>
    <hyperlink ref="J282" r:id="rId561" display="Search"/>
    <hyperlink ref="K282" r:id="rId562" display="Search"/>
    <hyperlink ref="J283" r:id="rId563" display="Search"/>
    <hyperlink ref="K283" r:id="rId564" display="Search"/>
    <hyperlink ref="J284" r:id="rId565" display="Search"/>
    <hyperlink ref="K284" r:id="rId566" display="Search"/>
    <hyperlink ref="J285" r:id="rId567" display="Search"/>
    <hyperlink ref="K285" r:id="rId568" display="Search"/>
    <hyperlink ref="J286" r:id="rId569" display="Search"/>
    <hyperlink ref="K286" r:id="rId570" display="Search"/>
    <hyperlink ref="J287" r:id="rId571" display="Search"/>
    <hyperlink ref="K287" r:id="rId572" display="Search"/>
    <hyperlink ref="J288" r:id="rId573" display="Search"/>
    <hyperlink ref="K288" r:id="rId574" display="Search"/>
    <hyperlink ref="J289" r:id="rId575" display="Search"/>
    <hyperlink ref="K289" r:id="rId576" display="Search"/>
    <hyperlink ref="J290" r:id="rId577" display="Search"/>
    <hyperlink ref="K290" r:id="rId578" display="Search"/>
    <hyperlink ref="J291" r:id="rId579" display="Search"/>
    <hyperlink ref="K291" r:id="rId580" display="Search"/>
    <hyperlink ref="J292" r:id="rId581" display="Search"/>
    <hyperlink ref="K292" r:id="rId582" display="Search"/>
    <hyperlink ref="J293" r:id="rId583" display="Search"/>
    <hyperlink ref="K293" r:id="rId584" display="Search"/>
    <hyperlink ref="J294" r:id="rId585" display="Search"/>
    <hyperlink ref="K294" r:id="rId586" display="Search"/>
    <hyperlink ref="J295" r:id="rId587" display="Search"/>
    <hyperlink ref="K295" r:id="rId588" display="Search"/>
    <hyperlink ref="J296" r:id="rId589" display="Search"/>
    <hyperlink ref="K296" r:id="rId590" display="Search"/>
    <hyperlink ref="J297" r:id="rId591" display="Search"/>
    <hyperlink ref="K297" r:id="rId592" display="Search"/>
    <hyperlink ref="J298" r:id="rId593" display="Search"/>
    <hyperlink ref="K298" r:id="rId594" display="Search"/>
    <hyperlink ref="J299" r:id="rId595" display="Search"/>
    <hyperlink ref="K299" r:id="rId596" display="Search"/>
    <hyperlink ref="J300" r:id="rId597" display="Search"/>
    <hyperlink ref="K300" r:id="rId598" display="Search"/>
    <hyperlink ref="J301" r:id="rId599" display="Search"/>
    <hyperlink ref="K301" r:id="rId600" display="Search"/>
    <hyperlink ref="J302" r:id="rId601" display="Search"/>
    <hyperlink ref="K302" r:id="rId602" display="Search"/>
    <hyperlink ref="J303" r:id="rId603" display="Search"/>
    <hyperlink ref="K303" r:id="rId604" display="Search"/>
    <hyperlink ref="J304" r:id="rId605" display="Search"/>
    <hyperlink ref="K304" r:id="rId606" display="Search"/>
    <hyperlink ref="J305" r:id="rId607" display="Search"/>
    <hyperlink ref="K305" r:id="rId608" display="Search"/>
    <hyperlink ref="J306" r:id="rId609" display="Search"/>
    <hyperlink ref="K306" r:id="rId610" display="Search"/>
    <hyperlink ref="J307" r:id="rId611" display="Search"/>
    <hyperlink ref="K307" r:id="rId612" display="Search"/>
    <hyperlink ref="J308" r:id="rId613" display="Search"/>
    <hyperlink ref="K308" r:id="rId614" display="Search"/>
    <hyperlink ref="J309" r:id="rId615" display="Search"/>
    <hyperlink ref="K309" r:id="rId616" display="Search"/>
    <hyperlink ref="J310" r:id="rId617" display="Search"/>
    <hyperlink ref="K310" r:id="rId618" display="Search"/>
    <hyperlink ref="J311" r:id="rId619" display="Search"/>
    <hyperlink ref="K311" r:id="rId620" display="Search"/>
    <hyperlink ref="J312" r:id="rId621" display="Search"/>
    <hyperlink ref="K312" r:id="rId622" display="Search"/>
    <hyperlink ref="J313" r:id="rId623" display="Search"/>
    <hyperlink ref="K313" r:id="rId624" display="Search"/>
    <hyperlink ref="J314" r:id="rId625" display="Search"/>
    <hyperlink ref="K314" r:id="rId626" display="Search"/>
    <hyperlink ref="J315" r:id="rId627" display="Search"/>
    <hyperlink ref="K315" r:id="rId628" display="Search"/>
    <hyperlink ref="J316" r:id="rId629" display="Search"/>
    <hyperlink ref="K316" r:id="rId630" display="Search"/>
    <hyperlink ref="J317" r:id="rId631" display="Search"/>
    <hyperlink ref="K317" r:id="rId632" display="Search"/>
    <hyperlink ref="J318" r:id="rId633" display="Search"/>
    <hyperlink ref="K318" r:id="rId634" display="Search"/>
    <hyperlink ref="J319" r:id="rId635" display="Search"/>
    <hyperlink ref="K319" r:id="rId636" display="Search"/>
    <hyperlink ref="J320" r:id="rId637" display="Search"/>
    <hyperlink ref="K320" r:id="rId638" display="Search"/>
    <hyperlink ref="J321" r:id="rId639" display="Search"/>
    <hyperlink ref="K321" r:id="rId640" display="Search"/>
    <hyperlink ref="J322" r:id="rId641" display="Search"/>
    <hyperlink ref="K322" r:id="rId642" display="Search"/>
    <hyperlink ref="J323" r:id="rId643" display="Search"/>
    <hyperlink ref="K323" r:id="rId644" display="Search"/>
    <hyperlink ref="J324" r:id="rId645" display="Search"/>
    <hyperlink ref="K324" r:id="rId646" display="Search"/>
    <hyperlink ref="J325" r:id="rId647" display="Search"/>
    <hyperlink ref="K325" r:id="rId648" display="Search"/>
    <hyperlink ref="J326" r:id="rId649" display="Search"/>
    <hyperlink ref="K326" r:id="rId650" display="Search"/>
    <hyperlink ref="J327" r:id="rId651" display="Search"/>
    <hyperlink ref="K327" r:id="rId652" display="Search"/>
    <hyperlink ref="J328" r:id="rId653" display="Search"/>
    <hyperlink ref="K328" r:id="rId654" display="Search"/>
    <hyperlink ref="J329" r:id="rId655" display="Search"/>
    <hyperlink ref="K329" r:id="rId656" display="Search"/>
    <hyperlink ref="J330" r:id="rId657" display="Search"/>
    <hyperlink ref="K330" r:id="rId658" display="Search"/>
    <hyperlink ref="J331" r:id="rId659" display="Search"/>
    <hyperlink ref="K331" r:id="rId660" display="Search"/>
    <hyperlink ref="J332" r:id="rId661" display="Search"/>
    <hyperlink ref="K332" r:id="rId662" display="Search"/>
    <hyperlink ref="J333" r:id="rId663" display="Search"/>
    <hyperlink ref="K333" r:id="rId664" display="Search"/>
    <hyperlink ref="J334" r:id="rId665" display="Search"/>
    <hyperlink ref="K334" r:id="rId666" display="Search"/>
    <hyperlink ref="J335" r:id="rId667" display="Search"/>
    <hyperlink ref="K335" r:id="rId668" display="Search"/>
    <hyperlink ref="J336" r:id="rId669" display="Search"/>
    <hyperlink ref="K336" r:id="rId670" display="Search"/>
    <hyperlink ref="J337" r:id="rId671" display="Search"/>
    <hyperlink ref="K337" r:id="rId672" display="Search"/>
    <hyperlink ref="J338" r:id="rId673" display="Search"/>
    <hyperlink ref="K338" r:id="rId674" display="Search"/>
    <hyperlink ref="J339" r:id="rId675" display="Search"/>
    <hyperlink ref="K339" r:id="rId676" display="Search"/>
    <hyperlink ref="J340" r:id="rId677" display="Search"/>
    <hyperlink ref="K340" r:id="rId678" display="Search"/>
    <hyperlink ref="J341" r:id="rId679" display="Search"/>
    <hyperlink ref="K341" r:id="rId680" display="Search"/>
    <hyperlink ref="J342" r:id="rId681" display="Search"/>
    <hyperlink ref="K342" r:id="rId682" display="Search"/>
    <hyperlink ref="J343" r:id="rId683" display="Search"/>
    <hyperlink ref="K343" r:id="rId684" display="Search"/>
    <hyperlink ref="J344" r:id="rId685" display="Search"/>
    <hyperlink ref="K344" r:id="rId686" display="Search"/>
    <hyperlink ref="J345" r:id="rId687" display="Search"/>
    <hyperlink ref="K345" r:id="rId688" display="Search"/>
    <hyperlink ref="J346" r:id="rId689" display="Search"/>
    <hyperlink ref="K346" r:id="rId690" display="Search"/>
    <hyperlink ref="J347" r:id="rId691" display="Search"/>
    <hyperlink ref="K347" r:id="rId692" display="Search"/>
    <hyperlink ref="J348" r:id="rId693" display="Search"/>
    <hyperlink ref="K348" r:id="rId694" display="Search"/>
    <hyperlink ref="J349" r:id="rId695" display="Search"/>
    <hyperlink ref="K349" r:id="rId696" display="Search"/>
    <hyperlink ref="J350" r:id="rId697" display="Search"/>
    <hyperlink ref="K350" r:id="rId698" display="Search"/>
    <hyperlink ref="J351" r:id="rId699" display="Search"/>
    <hyperlink ref="K351" r:id="rId700" display="Search"/>
    <hyperlink ref="J352" r:id="rId701" display="Search"/>
    <hyperlink ref="K352" r:id="rId702" display="Search"/>
    <hyperlink ref="J353" r:id="rId703" display="Search"/>
    <hyperlink ref="K353" r:id="rId704" display="Search"/>
    <hyperlink ref="J354" r:id="rId705" display="Search"/>
    <hyperlink ref="K354" r:id="rId706" display="Search"/>
    <hyperlink ref="J355" r:id="rId707" display="Search"/>
    <hyperlink ref="K355" r:id="rId708" display="Search"/>
    <hyperlink ref="J356" r:id="rId709" display="Search"/>
    <hyperlink ref="K356" r:id="rId710" display="Search"/>
    <hyperlink ref="J357" r:id="rId711" display="Search"/>
    <hyperlink ref="K357" r:id="rId712" display="Search"/>
    <hyperlink ref="J358" r:id="rId713" display="Search"/>
    <hyperlink ref="K358" r:id="rId714" display="Search"/>
    <hyperlink ref="J359" r:id="rId715" display="Search"/>
    <hyperlink ref="K359" r:id="rId716" display="Search"/>
    <hyperlink ref="J360" r:id="rId717" display="Search"/>
    <hyperlink ref="K360" r:id="rId718" display="Search"/>
    <hyperlink ref="J361" r:id="rId719" display="Search"/>
    <hyperlink ref="K361" r:id="rId720" display="Search"/>
    <hyperlink ref="J362" r:id="rId721" display="Search"/>
    <hyperlink ref="K362" r:id="rId722" display="Search"/>
    <hyperlink ref="J363" r:id="rId723" display="Search"/>
    <hyperlink ref="K363" r:id="rId724" display="Search"/>
    <hyperlink ref="J364" r:id="rId725" display="Search"/>
    <hyperlink ref="K364" r:id="rId726" display="Search"/>
    <hyperlink ref="J365" r:id="rId727" display="Search"/>
    <hyperlink ref="K365" r:id="rId728" display="Search"/>
    <hyperlink ref="J366" r:id="rId729" display="Search"/>
    <hyperlink ref="K366" r:id="rId730" display="Search"/>
    <hyperlink ref="J367" r:id="rId731" display="Search"/>
    <hyperlink ref="K367" r:id="rId732" display="Search"/>
    <hyperlink ref="J368" r:id="rId733" display="Search"/>
    <hyperlink ref="K368" r:id="rId734" display="Search"/>
    <hyperlink ref="J369" r:id="rId735" display="Search"/>
    <hyperlink ref="K369" r:id="rId736" display="Search"/>
    <hyperlink ref="J370" r:id="rId737" display="Search"/>
    <hyperlink ref="K370" r:id="rId738" display="Search"/>
    <hyperlink ref="J371" r:id="rId739" display="Search"/>
    <hyperlink ref="K371" r:id="rId740" display="Search"/>
    <hyperlink ref="J372" r:id="rId741" display="Search"/>
    <hyperlink ref="K372" r:id="rId742" display="Search"/>
    <hyperlink ref="J373" r:id="rId743" display="Search"/>
    <hyperlink ref="K373" r:id="rId744" display="Search"/>
    <hyperlink ref="J374" r:id="rId745" display="Search"/>
    <hyperlink ref="K374" r:id="rId746" display="Search"/>
    <hyperlink ref="J375" r:id="rId747" display="Search"/>
    <hyperlink ref="K375" r:id="rId748" display="Search"/>
    <hyperlink ref="J376" r:id="rId749" display="Search"/>
    <hyperlink ref="K376" r:id="rId750" display="Search"/>
    <hyperlink ref="J377" r:id="rId751" display="Search"/>
    <hyperlink ref="K377" r:id="rId752" display="Search"/>
    <hyperlink ref="J378" r:id="rId753" display="Search"/>
    <hyperlink ref="K378" r:id="rId754" display="Search"/>
    <hyperlink ref="J379" r:id="rId755" display="Search"/>
    <hyperlink ref="K379" r:id="rId756" display="Search"/>
    <hyperlink ref="J380" r:id="rId757" display="Search"/>
    <hyperlink ref="K380" r:id="rId758" display="Search"/>
    <hyperlink ref="J381" r:id="rId759" display="Search"/>
    <hyperlink ref="K381" r:id="rId760" display="Search"/>
    <hyperlink ref="J382" r:id="rId761" display="Search"/>
    <hyperlink ref="K382" r:id="rId762" display="Search"/>
    <hyperlink ref="J383" r:id="rId763" display="Search"/>
    <hyperlink ref="K383" r:id="rId764" display="Search"/>
    <hyperlink ref="J384" r:id="rId765" display="Search"/>
    <hyperlink ref="K384" r:id="rId766" display="Search"/>
    <hyperlink ref="J385" r:id="rId767" display="Search"/>
    <hyperlink ref="K385" r:id="rId768" display="Search"/>
    <hyperlink ref="J386" r:id="rId769" display="Search"/>
    <hyperlink ref="K386" r:id="rId770" display="Search"/>
    <hyperlink ref="J387" r:id="rId771" display="Search"/>
    <hyperlink ref="K387" r:id="rId772" display="Search"/>
    <hyperlink ref="J388" r:id="rId773" display="Search"/>
    <hyperlink ref="K388" r:id="rId774" display="Search"/>
    <hyperlink ref="J389" r:id="rId775" display="Search"/>
    <hyperlink ref="K389" r:id="rId776" display="Search"/>
    <hyperlink ref="J390" r:id="rId777" display="Search"/>
    <hyperlink ref="K390" r:id="rId778" display="Search"/>
    <hyperlink ref="J391" r:id="rId779" display="Search"/>
    <hyperlink ref="K391" r:id="rId780" display="Search"/>
    <hyperlink ref="J392" r:id="rId781" display="Search"/>
    <hyperlink ref="K392" r:id="rId782" display="Search"/>
    <hyperlink ref="J393" r:id="rId783" display="Search"/>
    <hyperlink ref="K393" r:id="rId784" display="Search"/>
    <hyperlink ref="J394" r:id="rId785" display="Search"/>
    <hyperlink ref="K394" r:id="rId786" display="Search"/>
    <hyperlink ref="J395" r:id="rId787" display="Search"/>
    <hyperlink ref="K395" r:id="rId788" display="Search"/>
    <hyperlink ref="J396" r:id="rId789" display="Search"/>
    <hyperlink ref="K396" r:id="rId790" display="Search"/>
    <hyperlink ref="J397" r:id="rId791" display="Search"/>
    <hyperlink ref="K397" r:id="rId792" display="Search"/>
    <hyperlink ref="J398" r:id="rId793" display="Search"/>
    <hyperlink ref="K398" r:id="rId794" display="Search"/>
    <hyperlink ref="J399" r:id="rId795" display="Search"/>
    <hyperlink ref="K399" r:id="rId796" display="Search"/>
    <hyperlink ref="J400" r:id="rId797" display="Search"/>
    <hyperlink ref="K400" r:id="rId798" display="Search"/>
    <hyperlink ref="J401" r:id="rId799" display="Search"/>
    <hyperlink ref="K401" r:id="rId800" display="Search"/>
    <hyperlink ref="J402" r:id="rId801" display="Search"/>
    <hyperlink ref="K402" r:id="rId802" display="Search"/>
    <hyperlink ref="J403" r:id="rId803" display="Search"/>
    <hyperlink ref="K403" r:id="rId804" display="Search"/>
    <hyperlink ref="J404" r:id="rId805" display="Search"/>
    <hyperlink ref="K404" r:id="rId806" display="Search"/>
    <hyperlink ref="J405" r:id="rId807" display="Search"/>
    <hyperlink ref="K405" r:id="rId808" display="Search"/>
    <hyperlink ref="J406" r:id="rId809" display="Search"/>
    <hyperlink ref="K406" r:id="rId810" display="Search"/>
    <hyperlink ref="J407" r:id="rId811" display="Search"/>
    <hyperlink ref="K407" r:id="rId812" display="Search"/>
    <hyperlink ref="J408" r:id="rId813" display="Search"/>
    <hyperlink ref="K408" r:id="rId814" display="Search"/>
    <hyperlink ref="J409" r:id="rId815" display="Search"/>
    <hyperlink ref="K409" r:id="rId816" display="Search"/>
    <hyperlink ref="J410" r:id="rId817" display="Search"/>
    <hyperlink ref="K410" r:id="rId818" display="Search"/>
    <hyperlink ref="J411" r:id="rId819" display="Search"/>
    <hyperlink ref="K411" r:id="rId820" display="Search"/>
    <hyperlink ref="J412" r:id="rId821" display="Search"/>
    <hyperlink ref="K412" r:id="rId822" display="Search"/>
    <hyperlink ref="J413" r:id="rId823" display="Search"/>
    <hyperlink ref="K413" r:id="rId824" display="Search"/>
    <hyperlink ref="J414" r:id="rId825" display="Search"/>
    <hyperlink ref="K414" r:id="rId826" display="Search"/>
    <hyperlink ref="J415" r:id="rId827" display="Search"/>
    <hyperlink ref="K415" r:id="rId828" display="Search"/>
    <hyperlink ref="J416" r:id="rId829" display="Search"/>
    <hyperlink ref="K416" r:id="rId830" display="Search"/>
    <hyperlink ref="J417" r:id="rId831" display="Search"/>
    <hyperlink ref="K417" r:id="rId832" display="Search"/>
    <hyperlink ref="J418" r:id="rId833" display="Search"/>
    <hyperlink ref="K418" r:id="rId834" display="Search"/>
    <hyperlink ref="J419" r:id="rId835" display="Search"/>
    <hyperlink ref="K419" r:id="rId836" display="Search"/>
    <hyperlink ref="J420" r:id="rId837" display="Search"/>
    <hyperlink ref="K420" r:id="rId838" display="Search"/>
    <hyperlink ref="J421" r:id="rId839" display="Search"/>
    <hyperlink ref="K421" r:id="rId840" display="Search"/>
    <hyperlink ref="J422" r:id="rId841" display="Search"/>
    <hyperlink ref="K422" r:id="rId842" display="Search"/>
    <hyperlink ref="J423" r:id="rId843" display="Search"/>
    <hyperlink ref="K423" r:id="rId844" display="Search"/>
    <hyperlink ref="J424" r:id="rId845" display="Search"/>
    <hyperlink ref="K424" r:id="rId846" display="Search"/>
    <hyperlink ref="J425" r:id="rId847" display="Search"/>
    <hyperlink ref="K425" r:id="rId848" display="Search"/>
    <hyperlink ref="J426" r:id="rId849" display="Search"/>
    <hyperlink ref="K426" r:id="rId850" display="Search"/>
    <hyperlink ref="J427" r:id="rId851" display="Search"/>
    <hyperlink ref="K427" r:id="rId852" display="Search"/>
    <hyperlink ref="J428" r:id="rId853" display="Search"/>
    <hyperlink ref="K428" r:id="rId854" display="Search"/>
    <hyperlink ref="J429" r:id="rId855" display="Search"/>
    <hyperlink ref="K429" r:id="rId856" display="Search"/>
    <hyperlink ref="J430" r:id="rId857" display="Search"/>
    <hyperlink ref="K430" r:id="rId858" display="Search"/>
    <hyperlink ref="J431" r:id="rId859" display="Search"/>
    <hyperlink ref="K431" r:id="rId860" display="Search"/>
    <hyperlink ref="J432" r:id="rId861" display="Search"/>
    <hyperlink ref="K432" r:id="rId862" display="Search"/>
    <hyperlink ref="J433" r:id="rId863" display="Search"/>
    <hyperlink ref="K433" r:id="rId864" display="Search"/>
    <hyperlink ref="J434" r:id="rId865" display="Search"/>
    <hyperlink ref="K434" r:id="rId866"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67"/>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2026-09-26T10:28:00Z</dcterms:created>
  <dc:creator>openpyxl</dc:creator>
  <dc:description/>
  <dc:language>en-US</dc:language>
  <cp:lastModifiedBy/>
  <dcterms:modified xsi:type="dcterms:W3CDTF">2026-09-26T10:44:49Z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